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Tiziano\Desktop\Progetti\Ecoesion\Model-2021\Model_2021\vF\All_scripts_18nov2021\Eurogreen\Eurogreen\model\"/>
    </mc:Choice>
  </mc:AlternateContent>
  <xr:revisionPtr revIDLastSave="0" documentId="13_ncr:1_{0852D4B1-F37B-4498-A3A5-DC149BE050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scription" sheetId="1" r:id="rId1"/>
    <sheet name="inputoutput" sheetId="2" r:id="rId2"/>
    <sheet name="prices" sheetId="3" r:id="rId3"/>
    <sheet name="profits" sheetId="4" r:id="rId4"/>
    <sheet name="consumption" sheetId="5" r:id="rId5"/>
    <sheet name="investments" sheetId="6" r:id="rId6"/>
    <sheet name="internationaltrade" sheetId="7" r:id="rId7"/>
    <sheet name="hhincome" sheetId="8" r:id="rId8"/>
    <sheet name="finance" sheetId="9" r:id="rId9"/>
    <sheet name="labour" sheetId="10" r:id="rId10"/>
    <sheet name="government" sheetId="11" r:id="rId11"/>
    <sheet name="technology" sheetId="12" r:id="rId12"/>
  </sheets>
  <definedNames>
    <definedName name="capwealth">finance!$C$9</definedName>
    <definedName name="cov_c_1">inputoutput!$C$58</definedName>
    <definedName name="cov_c_2">inputoutput!$D$58</definedName>
    <definedName name="cov_i_1">inputoutput!$C$59</definedName>
    <definedName name="cov_i_2">inputoutput!$D$59</definedName>
    <definedName name="cov_m_1">inputoutput!$C$61</definedName>
    <definedName name="cov_m_2">inputoutput!$D$61</definedName>
    <definedName name="cov_x_1">inputoutput!$C$60</definedName>
    <definedName name="cov_x_2">inputoutput!$D$60</definedName>
    <definedName name="equityliability_ratio">investments!$C$37</definedName>
    <definedName name="glambda_mean">technology!$B$91:$T$91</definedName>
    <definedName name="glambda_sd">technology!$B$92:$T$92</definedName>
    <definedName name="initialGFCF">investments!$C$7:$U$7</definedName>
    <definedName name="investbmatrix">investments!$C$13:$U$31</definedName>
    <definedName name="mixed">labour!$C$65</definedName>
    <definedName name="normalcaputi">investments!$C$8</definedName>
    <definedName name="peradultwealth">finance!$C$2</definedName>
    <definedName name="pkweights">investments!$C$35:$U$35</definedName>
    <definedName name="skillwealth">finance!$C$6:$E$6</definedName>
    <definedName name="vat_rates">government!$C$28:$U$28</definedName>
    <definedName name="zmatrix">inputoutput!$C$12:$U$30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6" roundtripDataSignature="AMtx7mhw7TZA+rIZyymGp4ENP3duKvrHBg=="/>
    </ext>
  </extLst>
</workbook>
</file>

<file path=xl/calcChain.xml><?xml version="1.0" encoding="utf-8"?>
<calcChain xmlns="http://schemas.openxmlformats.org/spreadsheetml/2006/main">
  <c r="B77" i="11" l="1"/>
  <c r="B76" i="11"/>
  <c r="B75" i="11"/>
  <c r="B74" i="11"/>
  <c r="B73" i="11"/>
  <c r="B72" i="11"/>
  <c r="B71" i="11"/>
  <c r="B70" i="11"/>
  <c r="B69" i="11"/>
  <c r="B68" i="11"/>
  <c r="B67" i="11"/>
  <c r="B66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C65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A21" i="7"/>
  <c r="X21" i="7"/>
  <c r="W21" i="7"/>
  <c r="V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31" i="2" s="1"/>
</calcChain>
</file>

<file path=xl/sharedStrings.xml><?xml version="1.0" encoding="utf-8"?>
<sst xmlns="http://schemas.openxmlformats.org/spreadsheetml/2006/main" count="945" uniqueCount="222">
  <si>
    <t>Sheet</t>
  </si>
  <si>
    <t>Description</t>
  </si>
  <si>
    <t>unit of measure</t>
  </si>
  <si>
    <t>Country</t>
  </si>
  <si>
    <t>Data source</t>
  </si>
  <si>
    <t>Inputoutput</t>
  </si>
  <si>
    <r>
      <rPr>
        <b/>
        <sz val="11"/>
        <color theme="1"/>
        <rFont val="Arial"/>
      </rPr>
      <t>Zdom</t>
    </r>
    <r>
      <rPr>
        <sz val="11"/>
        <color theme="1"/>
        <rFont val="Arial"/>
      </rPr>
      <t xml:space="preserve"> includes domestic intermediate trade
</t>
    </r>
    <r>
      <rPr>
        <b/>
        <sz val="11"/>
        <color theme="1"/>
        <rFont val="Arial"/>
      </rPr>
      <t>fd DOM</t>
    </r>
    <r>
      <rPr>
        <sz val="11"/>
        <color theme="1"/>
        <rFont val="Arial"/>
      </rPr>
      <t xml:space="preserve"> by hh, gov, gfcf</t>
    </r>
  </si>
  <si>
    <t>€
€</t>
  </si>
  <si>
    <t>ITA</t>
  </si>
  <si>
    <t>https://ec.europa.eu/eurostat/web/esa-supply-use-input-tables/data/database</t>
  </si>
  <si>
    <t>Prices</t>
  </si>
  <si>
    <t>%</t>
  </si>
  <si>
    <t>https://data.oecd.org/price/inflation-cpi.htm</t>
  </si>
  <si>
    <t>Profits</t>
  </si>
  <si>
    <t>consumption</t>
  </si>
  <si>
    <t>COICOP CPA bridge Matrix
average equivalised disposable income by income quintile
propensity to consume by income quintile
distribution of consumption expenditure</t>
  </si>
  <si>
    <t>%
€
%
%</t>
  </si>
  <si>
    <t>https://www.sciencedirect.com/science/article/pii/S2352340920302894
https://www.bancaditalia.it/pubblicazioni/indagine-famiglie/bil-fam2010/en_suppl_06_12n.pdf?language_id=1
-||-
own calculations (based on ISTAT and Fidelio data)</t>
  </si>
  <si>
    <t>investments</t>
  </si>
  <si>
    <t>internal trade</t>
  </si>
  <si>
    <r>
      <rPr>
        <b/>
        <sz val="11"/>
        <color theme="1"/>
        <rFont val="Arial"/>
      </rPr>
      <t>Zimp</t>
    </r>
    <r>
      <rPr>
        <sz val="11"/>
        <color theme="1"/>
        <rFont val="Arial"/>
      </rPr>
      <t xml:space="preserve"> and</t>
    </r>
    <r>
      <rPr>
        <b/>
        <sz val="11"/>
        <color theme="1"/>
        <rFont val="Arial"/>
      </rPr>
      <t xml:space="preserve"> fd imp</t>
    </r>
    <r>
      <rPr>
        <sz val="11"/>
        <color theme="1"/>
        <rFont val="Arial"/>
      </rPr>
      <t xml:space="preserve"> (hh, gov, gfcf) and </t>
    </r>
    <r>
      <rPr>
        <b/>
        <sz val="11"/>
        <color theme="1"/>
        <rFont val="Arial"/>
      </rPr>
      <t>Exp</t>
    </r>
  </si>
  <si>
    <t>€</t>
  </si>
  <si>
    <t>hh income</t>
  </si>
  <si>
    <t>finance</t>
  </si>
  <si>
    <t>€, %</t>
  </si>
  <si>
    <t>https://sdw.ecb.europa.eu/browse.do?node=9691390</t>
  </si>
  <si>
    <t>labour</t>
  </si>
  <si>
    <t>LFPR
unemployment rate</t>
  </si>
  <si>
    <t>%
%</t>
  </si>
  <si>
    <r>
      <rPr>
        <u/>
        <sz val="11"/>
        <color rgb="FF1155CC"/>
        <rFont val="Calibri"/>
      </rPr>
      <t>https://ec.europa.eu/eurostat/databrowser/view/LFSA_ARGAED__custom_841706/default/table?lang=en</t>
    </r>
    <r>
      <rPr>
        <sz val="11"/>
        <color theme="1"/>
        <rFont val="Calibri"/>
      </rPr>
      <t xml:space="preserve">
https://ec.europa.eu/eurostat/databrowser/view/UNE_EDUC_A__custom_996509/default/table</t>
    </r>
  </si>
  <si>
    <t>government</t>
  </si>
  <si>
    <t>https://ec.europa.eu/eurostat/web/government-finance-statistics</t>
  </si>
  <si>
    <t>https://www.oecd.org/tax/consumption/consumption-tax-trends-italy.pdf</t>
  </si>
  <si>
    <t>https://www.agenziaentrate.gov.it/portale/web/english/personal-income-tax-rates-and-calculation</t>
  </si>
  <si>
    <t>https://www.agenziaentrate.gov.it/portale/web/english/corporate-income-tax-ires?inheritRedirect=true</t>
  </si>
  <si>
    <t>https://www.agenziaentrate.gov.it/portale/documents/20143/314317/CS+27062014+rendite+finanziarie_88_+Com+st+Circolare+tassazione+redditi+finanziari+27+06+14.pdf/28537f70-6fd6-982b-d87d-52c950d3f0b4/-/cs-27062014-rendite-finanziarie</t>
  </si>
  <si>
    <t>technology</t>
  </si>
  <si>
    <r>
      <rPr>
        <sz val="11"/>
        <color theme="1"/>
        <rFont val="Arial"/>
      </rPr>
      <t xml:space="preserve">Includes the </t>
    </r>
    <r>
      <rPr>
        <b/>
        <sz val="11"/>
        <color theme="1"/>
        <rFont val="Arial"/>
      </rPr>
      <t>Leontief</t>
    </r>
    <r>
      <rPr>
        <sz val="11"/>
        <color theme="1"/>
        <rFont val="Arial"/>
      </rPr>
      <t xml:space="preserve"> and the matrix of tech coeff </t>
    </r>
    <r>
      <rPr>
        <b/>
        <sz val="11"/>
        <color theme="1"/>
        <rFont val="Arial"/>
      </rPr>
      <t xml:space="preserve">A
</t>
    </r>
    <r>
      <rPr>
        <sz val="11"/>
        <color theme="1"/>
        <rFont val="Arial"/>
      </rPr>
      <t>mean and sd of percentage changes of A due to technological innovation</t>
    </r>
  </si>
  <si>
    <t>-
%</t>
  </si>
  <si>
    <t>own calculation
own calculation based on WIOD 1995-2009</t>
  </si>
  <si>
    <t>ind -&gt;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</si>
  <si>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</si>
  <si>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</si>
  <si>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</si>
  <si>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</si>
  <si>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</si>
  <si>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</si>
  <si>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</si>
  <si>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</si>
  <si>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</si>
  <si>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</si>
  <si>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</si>
  <si>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</si>
  <si>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M-N</t>
  </si>
  <si>
    <t>O</t>
  </si>
  <si>
    <t>P</t>
  </si>
  <si>
    <t>Q</t>
  </si>
  <si>
    <t>R</t>
  </si>
  <si>
    <t>S_T_U</t>
  </si>
  <si>
    <t>initial output</t>
  </si>
  <si>
    <t>initial value added</t>
  </si>
  <si>
    <t>initial labour compensation</t>
  </si>
  <si>
    <t>initial capital compensation</t>
  </si>
  <si>
    <t>Initial total output</t>
  </si>
  <si>
    <t>initial GDP</t>
  </si>
  <si>
    <t>Z Dom</t>
  </si>
  <si>
    <t>C19</t>
  </si>
  <si>
    <t>M+N</t>
  </si>
  <si>
    <t>S+T+U</t>
  </si>
  <si>
    <t>TOT ZOUT</t>
  </si>
  <si>
    <t>TOT Z IN</t>
  </si>
  <si>
    <t>fd DOM</t>
  </si>
  <si>
    <t>HH</t>
  </si>
  <si>
    <t xml:space="preserve">GOV </t>
  </si>
  <si>
    <t>GFCF</t>
  </si>
  <si>
    <t>TOT</t>
  </si>
  <si>
    <t>Covid shock</t>
  </si>
  <si>
    <t>exports</t>
  </si>
  <si>
    <t>imports</t>
  </si>
  <si>
    <t>Initial inflation rate (2010)</t>
  </si>
  <si>
    <t>initial markups</t>
  </si>
  <si>
    <t>S-U</t>
  </si>
  <si>
    <t>COICOP CPA Bridge Matrix</t>
  </si>
  <si>
    <t>TIZIANO</t>
  </si>
  <si>
    <t>CP01</t>
  </si>
  <si>
    <t>CP02</t>
  </si>
  <si>
    <t>CP03</t>
  </si>
  <si>
    <t>CP041-043</t>
  </si>
  <si>
    <t>CP044</t>
  </si>
  <si>
    <t>CP045</t>
  </si>
  <si>
    <t>CP05</t>
  </si>
  <si>
    <t>CP06</t>
  </si>
  <si>
    <t>CP071-072</t>
  </si>
  <si>
    <t>CP073</t>
  </si>
  <si>
    <t>CP08</t>
  </si>
  <si>
    <t>CP09</t>
  </si>
  <si>
    <t>CP10</t>
  </si>
  <si>
    <t>CP11</t>
  </si>
  <si>
    <t>CP121</t>
  </si>
  <si>
    <t>CP122-127</t>
  </si>
  <si>
    <t>CPA_A</t>
  </si>
  <si>
    <t>CPA_B</t>
  </si>
  <si>
    <t>CPA_C</t>
  </si>
  <si>
    <t>CPA_C19</t>
  </si>
  <si>
    <t>CPA_D</t>
  </si>
  <si>
    <t>CPA_E</t>
  </si>
  <si>
    <t>CPA_F</t>
  </si>
  <si>
    <t>CPA_G</t>
  </si>
  <si>
    <t>CPA_H</t>
  </si>
  <si>
    <t>CPA_I</t>
  </si>
  <si>
    <t>CPA_J</t>
  </si>
  <si>
    <t>CPA_K</t>
  </si>
  <si>
    <t>CPA_L</t>
  </si>
  <si>
    <t>CPA_M-N</t>
  </si>
  <si>
    <t>CPA_O</t>
  </si>
  <si>
    <t>CPA_P</t>
  </si>
  <si>
    <t>CPA_Q</t>
  </si>
  <si>
    <t>CPA_R</t>
  </si>
  <si>
    <t>CPA_S-T</t>
  </si>
  <si>
    <t>quintile</t>
  </si>
  <si>
    <t>q1</t>
  </si>
  <si>
    <t>q2</t>
  </si>
  <si>
    <t>q3</t>
  </si>
  <si>
    <t>q4</t>
  </si>
  <si>
    <t>q5</t>
  </si>
  <si>
    <t>equivalent income</t>
  </si>
  <si>
    <t>propensity to consume</t>
  </si>
  <si>
    <t>beta adjusted to Fidelio</t>
  </si>
  <si>
    <t>initial fixed capital</t>
  </si>
  <si>
    <t>depreciation rates</t>
  </si>
  <si>
    <t>lifetime of fixed capital</t>
  </si>
  <si>
    <t>initial capital productivity</t>
  </si>
  <si>
    <t>initial GFCF desired</t>
  </si>
  <si>
    <t>normal capacity utilization</t>
  </si>
  <si>
    <t>GFCF transformation Matrix (B)</t>
  </si>
  <si>
    <t>GFCF demand</t>
  </si>
  <si>
    <t>industries</t>
  </si>
  <si>
    <t>GFCF supply</t>
  </si>
  <si>
    <t>price of capital weights</t>
  </si>
  <si>
    <t>eqity to liabilities ratio</t>
  </si>
  <si>
    <t>1- debt total market Book debt to capital ratio, from Damodaram</t>
  </si>
  <si>
    <t>Z imp</t>
  </si>
  <si>
    <t>HH IMP</t>
  </si>
  <si>
    <t>GOV IMP</t>
  </si>
  <si>
    <t>GFCF IMP</t>
  </si>
  <si>
    <t>EXP</t>
  </si>
  <si>
    <t>TOT Z IMP</t>
  </si>
  <si>
    <t>Final demand shares (elementwise ratio between f_imp and f_tot)</t>
  </si>
  <si>
    <t>Sector</t>
  </si>
  <si>
    <t>f_HH_imp/f_HH_tot</t>
  </si>
  <si>
    <t>f_gov_imp/f_gov_tot</t>
  </si>
  <si>
    <t>f_gfcf_imp/f_gfcf_tot</t>
  </si>
  <si>
    <t>Intermediate trade ratios (elementwise ratio between Z_imp and Z_dom)</t>
  </si>
  <si>
    <t>Export trends</t>
  </si>
  <si>
    <t>Trend</t>
  </si>
  <si>
    <t>per adult national wealth</t>
  </si>
  <si>
    <t>% of national welath by skill</t>
  </si>
  <si>
    <t>low</t>
  </si>
  <si>
    <t>middle</t>
  </si>
  <si>
    <t>high</t>
  </si>
  <si>
    <t>capitalists</t>
  </si>
  <si>
    <t>Initial interest rate</t>
  </si>
  <si>
    <t>initial employment</t>
  </si>
  <si>
    <t>hours/year per capita</t>
  </si>
  <si>
    <t>labour productivity</t>
  </si>
  <si>
    <t>hours/week</t>
  </si>
  <si>
    <t>weeks/year</t>
  </si>
  <si>
    <t>initial employment shares</t>
  </si>
  <si>
    <t>skill</t>
  </si>
  <si>
    <t>initial male share</t>
  </si>
  <si>
    <t>trend skill distribution</t>
  </si>
  <si>
    <t>male share trend</t>
  </si>
  <si>
    <t>initial hourly wages</t>
  </si>
  <si>
    <t>gender</t>
  </si>
  <si>
    <t>male</t>
  </si>
  <si>
    <t>female</t>
  </si>
  <si>
    <t>labour force participation rates</t>
  </si>
  <si>
    <t>calculated to fit data</t>
  </si>
  <si>
    <t>unemployment rate</t>
  </si>
  <si>
    <t>initial mixed income</t>
  </si>
  <si>
    <t>employees social contribution</t>
  </si>
  <si>
    <t>employers social contribution</t>
  </si>
  <si>
    <t>BENEFITS</t>
  </si>
  <si>
    <t>SD per capita</t>
  </si>
  <si>
    <t>FC per child</t>
  </si>
  <si>
    <t>ub coverage ratio</t>
  </si>
  <si>
    <t>ub wage ratio</t>
  </si>
  <si>
    <t>pw ratio</t>
  </si>
  <si>
    <t>initial other benefits per capita</t>
  </si>
  <si>
    <t>FINAL CONSUMPTION</t>
  </si>
  <si>
    <t>total final cons expenditure</t>
  </si>
  <si>
    <t>trend in total final cons exp</t>
  </si>
  <si>
    <t>OTHER EXPENDITURE</t>
  </si>
  <si>
    <t>wage ratio</t>
  </si>
  <si>
    <t>investment ratio</t>
  </si>
  <si>
    <t>inflation target</t>
  </si>
  <si>
    <t>initial i</t>
  </si>
  <si>
    <t>Government consolidated gross debt</t>
  </si>
  <si>
    <t>VAT rate</t>
  </si>
  <si>
    <t>Year</t>
  </si>
  <si>
    <t>vat effective rates 2010</t>
  </si>
  <si>
    <t>Personal income tax (Irpef) rates</t>
  </si>
  <si>
    <t>Tax bracket</t>
  </si>
  <si>
    <t>Bracket treshold</t>
  </si>
  <si>
    <t>tax rate</t>
  </si>
  <si>
    <t>0-15000</t>
  </si>
  <si>
    <t>15000-28000</t>
  </si>
  <si>
    <t>28000-55000</t>
  </si>
  <si>
    <t>55000-75000</t>
  </si>
  <si>
    <t>&gt;75000</t>
  </si>
  <si>
    <t>Corporate income tax rate (Ires)</t>
  </si>
  <si>
    <t>Year Vensim</t>
  </si>
  <si>
    <t>Financial income tax rate</t>
  </si>
  <si>
    <t>A DOM</t>
  </si>
  <si>
    <t>ITA 2010</t>
  </si>
  <si>
    <t>LEONT DOM</t>
  </si>
  <si>
    <t>Not used (calculated in Vensim)</t>
  </si>
  <si>
    <t>technical coefficients growth rate mean</t>
  </si>
  <si>
    <t>technical coefficients growth rate sd</t>
  </si>
  <si>
    <t>labour productivity growth rates, calculated from KLEMS data between 2010 and 2015</t>
  </si>
  <si>
    <t>mean</t>
  </si>
  <si>
    <t>s.d.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</si>
</sst>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00"/>
    <numFmt numFmtId="167" formatCode="#&quot; &quot;###&quot; &quot;##0&quot;  &quot;"/>
  </numFmts>
  <fonts count="23" x14ac:knownFonts="1">
    <font>
      <sz val="11"/>
      <color theme="1"/>
      <name val="Arial"/>
    </font>
    <font>
      <b/>
      <sz val="11"/>
      <color theme="1"/>
      <name val="Arial"/>
    </font>
    <font>
      <u/>
      <sz val="11"/>
      <color theme="10"/>
      <name val="Arial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FF"/>
      <name val="Calibri"/>
    </font>
    <font>
      <sz val="11"/>
      <color theme="10"/>
      <name val="Arial"/>
    </font>
    <font>
      <u/>
      <sz val="11"/>
      <color rgb="FF000000"/>
      <name val="Calibri"/>
    </font>
    <font>
      <u/>
      <sz val="11"/>
      <color rgb="FF1155CC"/>
      <name val="Calibri"/>
    </font>
    <font>
      <b/>
      <sz val="11"/>
      <color rgb="FF000000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</font>
    <font>
      <b/>
      <sz val="10"/>
      <color theme="0"/>
      <name val="Arial"/>
    </font>
    <font>
      <sz val="11"/>
      <name val="Arial"/>
    </font>
    <font>
      <b/>
      <sz val="10"/>
      <color theme="1"/>
      <name val="Arial"/>
    </font>
    <font>
      <b/>
      <sz val="11"/>
      <color rgb="FF000000"/>
      <name val="Arial"/>
    </font>
    <font>
      <sz val="9"/>
      <color theme="1"/>
      <name val="Arial"/>
    </font>
    <font>
      <sz val="7"/>
      <color rgb="FF000000"/>
      <name val="Arial"/>
    </font>
    <font>
      <b/>
      <sz val="9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7F7F7F"/>
        <bgColor rgb="FF7F7F7F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0" borderId="0" xfId="0" quotePrefix="1" applyFont="1"/>
    <xf numFmtId="0" fontId="3" fillId="0" borderId="0" xfId="0" applyFont="1" applyAlignment="1">
      <alignment horizontal="right"/>
    </xf>
    <xf numFmtId="0" fontId="0" fillId="2" borderId="1" xfId="0" applyFont="1" applyFill="1" applyBorder="1"/>
    <xf numFmtId="0" fontId="9" fillId="0" borderId="0" xfId="0" applyFont="1"/>
    <xf numFmtId="4" fontId="10" fillId="0" borderId="0" xfId="0" applyNumberFormat="1" applyFont="1" applyAlignment="1">
      <alignment horizontal="right"/>
    </xf>
    <xf numFmtId="0" fontId="11" fillId="0" borderId="0" xfId="0" applyFont="1"/>
    <xf numFmtId="11" fontId="3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3" fillId="0" borderId="2" xfId="0" applyFont="1" applyBorder="1"/>
    <xf numFmtId="0" fontId="13" fillId="0" borderId="2" xfId="0" applyFont="1" applyBorder="1"/>
    <xf numFmtId="0" fontId="13" fillId="0" borderId="0" xfId="0" applyFont="1"/>
    <xf numFmtId="164" fontId="0" fillId="0" borderId="0" xfId="0" applyNumberFormat="1" applyFont="1"/>
    <xf numFmtId="11" fontId="13" fillId="0" borderId="0" xfId="0" applyNumberFormat="1" applyFont="1" applyAlignment="1">
      <alignment horizontal="right"/>
    </xf>
    <xf numFmtId="165" fontId="0" fillId="0" borderId="0" xfId="0" applyNumberFormat="1" applyFont="1"/>
    <xf numFmtId="0" fontId="14" fillId="0" borderId="0" xfId="0" applyFont="1"/>
    <xf numFmtId="164" fontId="14" fillId="0" borderId="0" xfId="0" applyNumberFormat="1" applyFont="1"/>
    <xf numFmtId="0" fontId="13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164" fontId="3" fillId="0" borderId="0" xfId="0" applyNumberFormat="1" applyFont="1"/>
    <xf numFmtId="166" fontId="3" fillId="0" borderId="0" xfId="0" applyNumberFormat="1" applyFont="1"/>
    <xf numFmtId="0" fontId="15" fillId="0" borderId="0" xfId="0" applyFont="1"/>
    <xf numFmtId="0" fontId="0" fillId="3" borderId="3" xfId="0" applyFont="1" applyFill="1" applyBorder="1"/>
    <xf numFmtId="0" fontId="16" fillId="3" borderId="4" xfId="0" applyFont="1" applyFill="1" applyBorder="1" applyAlignment="1">
      <alignment horizontal="right"/>
    </xf>
    <xf numFmtId="0" fontId="0" fillId="3" borderId="8" xfId="0" applyFont="1" applyFill="1" applyBorder="1"/>
    <xf numFmtId="0" fontId="16" fillId="3" borderId="1" xfId="0" applyFont="1" applyFill="1" applyBorder="1" applyAlignment="1">
      <alignment horizontal="right"/>
    </xf>
    <xf numFmtId="0" fontId="16" fillId="3" borderId="1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right"/>
    </xf>
    <xf numFmtId="0" fontId="0" fillId="4" borderId="15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1" fillId="5" borderId="1" xfId="0" applyFont="1" applyFill="1" applyBorder="1"/>
    <xf numFmtId="0" fontId="19" fillId="0" borderId="0" xfId="0" applyFont="1"/>
    <xf numFmtId="0" fontId="9" fillId="0" borderId="2" xfId="0" applyFont="1" applyBorder="1"/>
    <xf numFmtId="0" fontId="19" fillId="0" borderId="2" xfId="0" applyFont="1" applyBorder="1"/>
    <xf numFmtId="0" fontId="0" fillId="6" borderId="1" xfId="0" applyFont="1" applyFill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167" fontId="21" fillId="7" borderId="17" xfId="0" applyNumberFormat="1" applyFont="1" applyFill="1" applyBorder="1" applyAlignment="1">
      <alignment horizontal="right"/>
    </xf>
    <xf numFmtId="0" fontId="22" fillId="0" borderId="0" xfId="0" applyFont="1" applyAlignment="1">
      <alignment horizontal="left"/>
    </xf>
    <xf numFmtId="3" fontId="13" fillId="0" borderId="0" xfId="0" applyNumberFormat="1" applyFont="1" applyAlignment="1">
      <alignment horizontal="right"/>
    </xf>
    <xf numFmtId="0" fontId="11" fillId="8" borderId="1" xfId="0" applyFont="1" applyFill="1" applyBorder="1"/>
    <xf numFmtId="0" fontId="11" fillId="9" borderId="1" xfId="0" applyFont="1" applyFill="1" applyBorder="1"/>
    <xf numFmtId="11" fontId="14" fillId="0" borderId="0" xfId="0" applyNumberFormat="1" applyFont="1" applyAlignment="1">
      <alignment horizontal="right"/>
    </xf>
    <xf numFmtId="0" fontId="16" fillId="3" borderId="5" xfId="0" applyFont="1" applyFill="1" applyBorder="1" applyAlignment="1">
      <alignment horizontal="center"/>
    </xf>
    <xf numFmtId="0" fontId="17" fillId="0" borderId="6" xfId="0" applyFont="1" applyBorder="1"/>
    <xf numFmtId="0" fontId="17" fillId="0" borderId="7" xfId="0" applyFont="1" applyBorder="1"/>
    <xf numFmtId="0" fontId="16" fillId="3" borderId="10" xfId="0" applyFont="1" applyFill="1" applyBorder="1" applyAlignment="1">
      <alignment horizontal="right" vertical="center" textRotation="90" wrapText="1"/>
    </xf>
    <xf numFmtId="0" fontId="17" fillId="0" borderId="12" xfId="0" applyFont="1" applyBorder="1"/>
    <xf numFmtId="0" fontId="17" fillId="0" borderId="13" xfId="0" applyFont="1" applyBorder="1"/>
    <xf numFmtId="0" fontId="13" fillId="0" borderId="0" xfId="0" applyFont="1" applyAlignment="1">
      <alignment horizontal="left"/>
    </xf>
    <xf numFmtId="0" fontId="0" fillId="0" borderId="0" xfId="0" applyFont="1" applyAlignment="1"/>
    <xf numFmtId="0" fontId="13" fillId="0" borderId="0" xfId="0" applyFont="1"/>
    <xf numFmtId="0" fontId="1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genziaentrate.gov.it/portale/documents/20143/314317/CS+27062014+rendite+finanziarie_88_+Com+st+Circolare+tassazione+redditi+finanziari+27+06+14.pdf/28537f70-6fd6-982b-d87d-52c950d3f0b4/-/cs-27062014-rendite-finanziarie" TargetMode="External"/><Relationship Id="rId3" Type="http://schemas.openxmlformats.org/officeDocument/2006/relationships/hyperlink" Target="https://ec.europa.eu/eurostat/databrowser/view/LFSA_ARGAED__custom_841706/default/table?lang=en" TargetMode="External"/><Relationship Id="rId7" Type="http://schemas.openxmlformats.org/officeDocument/2006/relationships/hyperlink" Target="https://www.agenziaentrate.gov.it/portale/web/english/corporate-income-tax-ires?inheritRedirect=true" TargetMode="External"/><Relationship Id="rId2" Type="http://schemas.openxmlformats.org/officeDocument/2006/relationships/hyperlink" Target="https://sdw.ecb.europa.eu/browse.do?node=9691390" TargetMode="External"/><Relationship Id="rId1" Type="http://schemas.openxmlformats.org/officeDocument/2006/relationships/hyperlink" Target="https://data.oecd.org/price/inflation-cpi.htm" TargetMode="External"/><Relationship Id="rId6" Type="http://schemas.openxmlformats.org/officeDocument/2006/relationships/hyperlink" Target="https://www.agenziaentrate.gov.it/portale/web/english/personal-income-tax-rates-and-calculation" TargetMode="External"/><Relationship Id="rId5" Type="http://schemas.openxmlformats.org/officeDocument/2006/relationships/hyperlink" Target="https://www.oecd.org/tax/consumption/consumption-tax-trends-italy.pdf" TargetMode="External"/><Relationship Id="rId4" Type="http://schemas.openxmlformats.org/officeDocument/2006/relationships/hyperlink" Target="https://ec.europa.eu/eurostat/web/government-finance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</sheetPr>
  <dimension ref="A1:Z1004"/>
  <sheetViews>
    <sheetView tabSelected="1" workbookViewId="0"/>
  </sheetViews>
  <sheetFormatPr defaultColWidth="12.59765625" defaultRowHeight="15" customHeight="1" x14ac:dyDescent="0.25"/>
  <cols>
    <col min="1" max="1" width="10.3984375" customWidth="1"/>
    <col min="2" max="2" width="35.5" customWidth="1"/>
    <col min="3" max="4" width="10.3984375" customWidth="1"/>
    <col min="5" max="5" width="8.19921875" customWidth="1"/>
    <col min="6" max="26" width="6.59765625" customWidth="1"/>
  </cols>
  <sheetData>
    <row r="1" spans="1:26" ht="13.5" customHeight="1" x14ac:dyDescent="0.25">
      <c r="D1" s="1"/>
    </row>
    <row r="2" spans="1:26" ht="13.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3" t="s">
        <v>5</v>
      </c>
      <c r="B3" s="4" t="s">
        <v>6</v>
      </c>
      <c r="C3" s="5" t="s">
        <v>7</v>
      </c>
      <c r="D3" s="5" t="s">
        <v>8</v>
      </c>
      <c r="E3" s="6" t="s">
        <v>9</v>
      </c>
    </row>
    <row r="4" spans="1:26" ht="13.5" customHeight="1" x14ac:dyDescent="0.3">
      <c r="A4" s="3" t="s">
        <v>10</v>
      </c>
      <c r="C4" s="7" t="s">
        <v>11</v>
      </c>
      <c r="D4" s="1" t="s">
        <v>8</v>
      </c>
      <c r="E4" s="8" t="s">
        <v>12</v>
      </c>
    </row>
    <row r="5" spans="1:26" ht="13.5" customHeight="1" x14ac:dyDescent="0.25">
      <c r="A5" s="3" t="s">
        <v>13</v>
      </c>
      <c r="D5" s="1"/>
    </row>
    <row r="6" spans="1:26" ht="13.5" customHeight="1" x14ac:dyDescent="0.3">
      <c r="A6" s="3" t="s">
        <v>14</v>
      </c>
      <c r="B6" s="7" t="s">
        <v>15</v>
      </c>
      <c r="C6" s="7" t="s">
        <v>16</v>
      </c>
      <c r="D6" s="1" t="s">
        <v>8</v>
      </c>
      <c r="E6" s="7" t="s">
        <v>17</v>
      </c>
    </row>
    <row r="7" spans="1:26" ht="13.5" customHeight="1" x14ac:dyDescent="0.25">
      <c r="A7" s="3" t="s">
        <v>18</v>
      </c>
      <c r="D7" s="1"/>
    </row>
    <row r="8" spans="1:26" ht="13.5" customHeight="1" x14ac:dyDescent="0.25">
      <c r="A8" s="3" t="s">
        <v>19</v>
      </c>
      <c r="B8" s="1" t="s">
        <v>20</v>
      </c>
      <c r="C8" s="5" t="s">
        <v>21</v>
      </c>
      <c r="D8" s="5" t="s">
        <v>8</v>
      </c>
      <c r="E8" s="6" t="s">
        <v>9</v>
      </c>
    </row>
    <row r="9" spans="1:26" ht="13.5" customHeight="1" x14ac:dyDescent="0.25">
      <c r="A9" s="3" t="s">
        <v>22</v>
      </c>
      <c r="D9" s="1"/>
    </row>
    <row r="10" spans="1:26" ht="13.5" customHeight="1" x14ac:dyDescent="0.3">
      <c r="A10" s="3" t="s">
        <v>23</v>
      </c>
      <c r="C10" s="7" t="s">
        <v>24</v>
      </c>
      <c r="D10" s="1" t="s">
        <v>8</v>
      </c>
      <c r="E10" s="8" t="s">
        <v>25</v>
      </c>
    </row>
    <row r="11" spans="1:26" ht="13.5" customHeight="1" x14ac:dyDescent="0.3">
      <c r="A11" s="3" t="s">
        <v>26</v>
      </c>
      <c r="B11" s="1" t="s">
        <v>27</v>
      </c>
      <c r="C11" s="7" t="s">
        <v>28</v>
      </c>
      <c r="D11" s="1" t="s">
        <v>8</v>
      </c>
      <c r="E11" s="9" t="s">
        <v>29</v>
      </c>
    </row>
    <row r="12" spans="1:26" ht="13.5" customHeight="1" x14ac:dyDescent="0.3">
      <c r="A12" s="3" t="s">
        <v>30</v>
      </c>
      <c r="C12" s="7" t="s">
        <v>24</v>
      </c>
      <c r="D12" s="1" t="s">
        <v>8</v>
      </c>
      <c r="E12" s="9" t="s">
        <v>31</v>
      </c>
    </row>
    <row r="13" spans="1:26" ht="13.5" customHeight="1" x14ac:dyDescent="0.3">
      <c r="A13" s="10"/>
      <c r="B13" s="1"/>
      <c r="C13" s="1"/>
      <c r="D13" s="5"/>
      <c r="E13" s="11" t="s">
        <v>32</v>
      </c>
    </row>
    <row r="14" spans="1:26" ht="13.5" customHeight="1" x14ac:dyDescent="0.3">
      <c r="A14" s="10"/>
      <c r="B14" s="1"/>
      <c r="C14" s="1"/>
      <c r="D14" s="5"/>
      <c r="E14" s="11" t="s">
        <v>33</v>
      </c>
    </row>
    <row r="15" spans="1:26" ht="13.5" customHeight="1" x14ac:dyDescent="0.3">
      <c r="A15" s="10"/>
      <c r="B15" s="1"/>
      <c r="C15" s="1"/>
      <c r="D15" s="5"/>
      <c r="E15" s="12" t="s">
        <v>34</v>
      </c>
    </row>
    <row r="16" spans="1:26" ht="13.5" customHeight="1" x14ac:dyDescent="0.3">
      <c r="A16" s="10"/>
      <c r="B16" s="1"/>
      <c r="C16" s="1"/>
      <c r="D16" s="5"/>
      <c r="E16" s="12" t="s">
        <v>35</v>
      </c>
    </row>
    <row r="17" spans="1:5" ht="13.5" customHeight="1" x14ac:dyDescent="0.25">
      <c r="A17" s="3" t="s">
        <v>36</v>
      </c>
      <c r="B17" s="1" t="s">
        <v>37</v>
      </c>
      <c r="C17" s="13" t="s">
        <v>38</v>
      </c>
      <c r="D17" s="5" t="s">
        <v>8</v>
      </c>
      <c r="E17" s="1" t="s">
        <v>39</v>
      </c>
    </row>
    <row r="18" spans="1:5" ht="13.5" customHeight="1" x14ac:dyDescent="0.25">
      <c r="D18" s="1"/>
    </row>
    <row r="19" spans="1:5" ht="13.5" customHeight="1" x14ac:dyDescent="0.25">
      <c r="D19" s="1"/>
    </row>
    <row r="20" spans="1:5" ht="13.5" customHeight="1" x14ac:dyDescent="0.25">
      <c r="D20" s="1"/>
    </row>
    <row r="21" spans="1:5" ht="13.5" customHeight="1" x14ac:dyDescent="0.25">
      <c r="D21" s="1"/>
    </row>
    <row r="22" spans="1:5" ht="13.5" customHeight="1" x14ac:dyDescent="0.25">
      <c r="D22" s="1"/>
    </row>
    <row r="23" spans="1:5" ht="13.5" customHeight="1" x14ac:dyDescent="0.25">
      <c r="D23" s="1"/>
    </row>
    <row r="24" spans="1:5" ht="13.5" customHeight="1" x14ac:dyDescent="0.25">
      <c r="D24" s="1"/>
    </row>
    <row r="25" spans="1:5" ht="13.5" customHeight="1" x14ac:dyDescent="0.25">
      <c r="D25" s="1"/>
    </row>
    <row r="26" spans="1:5" ht="13.5" customHeight="1" x14ac:dyDescent="0.25">
      <c r="D26" s="1"/>
    </row>
    <row r="27" spans="1:5" ht="13.5" customHeight="1" x14ac:dyDescent="0.25">
      <c r="D27" s="1"/>
    </row>
    <row r="28" spans="1:5" ht="13.5" customHeight="1" x14ac:dyDescent="0.25"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>
      <c r="D31" s="1"/>
    </row>
    <row r="32" spans="1:5" ht="13.5" customHeight="1" x14ac:dyDescent="0.25">
      <c r="D32" s="1"/>
    </row>
    <row r="33" spans="4:4" ht="13.5" customHeight="1" x14ac:dyDescent="0.25">
      <c r="D33" s="1"/>
    </row>
    <row r="34" spans="4:4" ht="13.5" customHeight="1" x14ac:dyDescent="0.25">
      <c r="D34" s="1"/>
    </row>
    <row r="35" spans="4:4" ht="13.5" customHeight="1" x14ac:dyDescent="0.25">
      <c r="D35" s="1"/>
    </row>
    <row r="36" spans="4:4" ht="13.5" customHeight="1" x14ac:dyDescent="0.25">
      <c r="D36" s="1"/>
    </row>
    <row r="37" spans="4:4" ht="13.5" customHeight="1" x14ac:dyDescent="0.25">
      <c r="D37" s="1"/>
    </row>
    <row r="38" spans="4:4" ht="13.5" customHeight="1" x14ac:dyDescent="0.25">
      <c r="D38" s="1"/>
    </row>
    <row r="39" spans="4:4" ht="13.5" customHeight="1" x14ac:dyDescent="0.25">
      <c r="D39" s="1"/>
    </row>
    <row r="40" spans="4:4" ht="13.5" customHeight="1" x14ac:dyDescent="0.25">
      <c r="D40" s="1"/>
    </row>
    <row r="41" spans="4:4" ht="13.5" customHeight="1" x14ac:dyDescent="0.25">
      <c r="D41" s="1"/>
    </row>
    <row r="42" spans="4:4" ht="13.5" customHeight="1" x14ac:dyDescent="0.25">
      <c r="D42" s="1"/>
    </row>
    <row r="43" spans="4:4" ht="13.5" customHeight="1" x14ac:dyDescent="0.25">
      <c r="D43" s="1"/>
    </row>
    <row r="44" spans="4:4" ht="13.5" customHeight="1" x14ac:dyDescent="0.25">
      <c r="D44" s="1"/>
    </row>
    <row r="45" spans="4:4" ht="13.5" customHeight="1" x14ac:dyDescent="0.25">
      <c r="D45" s="1"/>
    </row>
    <row r="46" spans="4:4" ht="13.5" customHeight="1" x14ac:dyDescent="0.25">
      <c r="D46" s="1"/>
    </row>
    <row r="47" spans="4:4" ht="13.5" customHeight="1" x14ac:dyDescent="0.25">
      <c r="D47" s="1"/>
    </row>
    <row r="48" spans="4:4" ht="13.5" customHeight="1" x14ac:dyDescent="0.25">
      <c r="D48" s="1"/>
    </row>
    <row r="49" spans="4:4" ht="13.5" customHeight="1" x14ac:dyDescent="0.25">
      <c r="D49" s="1"/>
    </row>
    <row r="50" spans="4:4" ht="13.5" customHeight="1" x14ac:dyDescent="0.25">
      <c r="D50" s="1"/>
    </row>
    <row r="51" spans="4:4" ht="13.5" customHeight="1" x14ac:dyDescent="0.25">
      <c r="D51" s="1"/>
    </row>
    <row r="52" spans="4:4" ht="13.5" customHeight="1" x14ac:dyDescent="0.25">
      <c r="D52" s="1"/>
    </row>
    <row r="53" spans="4:4" ht="13.5" customHeight="1" x14ac:dyDescent="0.25">
      <c r="D53" s="1"/>
    </row>
    <row r="54" spans="4:4" ht="13.5" customHeight="1" x14ac:dyDescent="0.25">
      <c r="D54" s="1"/>
    </row>
    <row r="55" spans="4:4" ht="13.5" customHeight="1" x14ac:dyDescent="0.25">
      <c r="D55" s="1"/>
    </row>
    <row r="56" spans="4:4" ht="13.5" customHeight="1" x14ac:dyDescent="0.25">
      <c r="D56" s="1"/>
    </row>
    <row r="57" spans="4:4" ht="13.5" customHeight="1" x14ac:dyDescent="0.25">
      <c r="D57" s="1"/>
    </row>
    <row r="58" spans="4:4" ht="13.5" customHeight="1" x14ac:dyDescent="0.25">
      <c r="D58" s="1"/>
    </row>
    <row r="59" spans="4:4" ht="13.5" customHeight="1" x14ac:dyDescent="0.25">
      <c r="D59" s="1"/>
    </row>
    <row r="60" spans="4:4" ht="13.5" customHeight="1" x14ac:dyDescent="0.25">
      <c r="D60" s="1"/>
    </row>
    <row r="61" spans="4:4" ht="13.5" customHeight="1" x14ac:dyDescent="0.25">
      <c r="D61" s="1"/>
    </row>
    <row r="62" spans="4:4" ht="13.5" customHeight="1" x14ac:dyDescent="0.25">
      <c r="D62" s="1"/>
    </row>
    <row r="63" spans="4:4" ht="13.5" customHeight="1" x14ac:dyDescent="0.25">
      <c r="D63" s="1"/>
    </row>
    <row r="64" spans="4:4" ht="13.5" customHeight="1" x14ac:dyDescent="0.25">
      <c r="D64" s="1"/>
    </row>
    <row r="65" spans="4:4" ht="13.5" customHeight="1" x14ac:dyDescent="0.25">
      <c r="D65" s="1"/>
    </row>
    <row r="66" spans="4:4" ht="13.5" customHeight="1" x14ac:dyDescent="0.25">
      <c r="D66" s="1"/>
    </row>
    <row r="67" spans="4:4" ht="13.5" customHeight="1" x14ac:dyDescent="0.25">
      <c r="D67" s="1"/>
    </row>
    <row r="68" spans="4:4" ht="13.5" customHeight="1" x14ac:dyDescent="0.25">
      <c r="D68" s="1"/>
    </row>
    <row r="69" spans="4:4" ht="13.5" customHeight="1" x14ac:dyDescent="0.25">
      <c r="D69" s="1"/>
    </row>
    <row r="70" spans="4:4" ht="13.5" customHeight="1" x14ac:dyDescent="0.25">
      <c r="D70" s="1"/>
    </row>
    <row r="71" spans="4:4" ht="13.5" customHeight="1" x14ac:dyDescent="0.25">
      <c r="D71" s="1"/>
    </row>
    <row r="72" spans="4:4" ht="13.5" customHeight="1" x14ac:dyDescent="0.25">
      <c r="D72" s="1"/>
    </row>
    <row r="73" spans="4:4" ht="13.5" customHeight="1" x14ac:dyDescent="0.25">
      <c r="D73" s="1"/>
    </row>
    <row r="74" spans="4:4" ht="13.5" customHeight="1" x14ac:dyDescent="0.25">
      <c r="D74" s="1"/>
    </row>
    <row r="75" spans="4:4" ht="13.5" customHeight="1" x14ac:dyDescent="0.25">
      <c r="D75" s="1"/>
    </row>
    <row r="76" spans="4:4" ht="13.5" customHeight="1" x14ac:dyDescent="0.25">
      <c r="D76" s="1"/>
    </row>
    <row r="77" spans="4:4" ht="13.5" customHeight="1" x14ac:dyDescent="0.25">
      <c r="D77" s="1"/>
    </row>
    <row r="78" spans="4:4" ht="13.5" customHeight="1" x14ac:dyDescent="0.25">
      <c r="D78" s="1"/>
    </row>
    <row r="79" spans="4:4" ht="13.5" customHeight="1" x14ac:dyDescent="0.25">
      <c r="D79" s="1"/>
    </row>
    <row r="80" spans="4:4" ht="13.5" customHeight="1" x14ac:dyDescent="0.25">
      <c r="D80" s="1"/>
    </row>
    <row r="81" spans="4:4" ht="13.5" customHeight="1" x14ac:dyDescent="0.25">
      <c r="D81" s="1"/>
    </row>
    <row r="82" spans="4:4" ht="13.5" customHeight="1" x14ac:dyDescent="0.25">
      <c r="D82" s="1"/>
    </row>
    <row r="83" spans="4:4" ht="13.5" customHeight="1" x14ac:dyDescent="0.25">
      <c r="D83" s="1"/>
    </row>
    <row r="84" spans="4:4" ht="13.5" customHeight="1" x14ac:dyDescent="0.25">
      <c r="D84" s="1"/>
    </row>
    <row r="85" spans="4:4" ht="13.5" customHeight="1" x14ac:dyDescent="0.25">
      <c r="D85" s="1"/>
    </row>
    <row r="86" spans="4:4" ht="13.5" customHeight="1" x14ac:dyDescent="0.25">
      <c r="D86" s="1"/>
    </row>
    <row r="87" spans="4:4" ht="13.5" customHeight="1" x14ac:dyDescent="0.25">
      <c r="D87" s="1"/>
    </row>
    <row r="88" spans="4:4" ht="13.5" customHeight="1" x14ac:dyDescent="0.25">
      <c r="D88" s="1"/>
    </row>
    <row r="89" spans="4:4" ht="13.5" customHeight="1" x14ac:dyDescent="0.25">
      <c r="D89" s="1"/>
    </row>
    <row r="90" spans="4:4" ht="13.5" customHeight="1" x14ac:dyDescent="0.25">
      <c r="D90" s="1"/>
    </row>
    <row r="91" spans="4:4" ht="13.5" customHeight="1" x14ac:dyDescent="0.25">
      <c r="D91" s="1"/>
    </row>
    <row r="92" spans="4:4" ht="13.5" customHeight="1" x14ac:dyDescent="0.25">
      <c r="D92" s="1"/>
    </row>
    <row r="93" spans="4:4" ht="13.5" customHeight="1" x14ac:dyDescent="0.25">
      <c r="D93" s="1"/>
    </row>
    <row r="94" spans="4:4" ht="13.5" customHeight="1" x14ac:dyDescent="0.25">
      <c r="D94" s="1"/>
    </row>
    <row r="95" spans="4:4" ht="13.5" customHeight="1" x14ac:dyDescent="0.25">
      <c r="D95" s="1"/>
    </row>
    <row r="96" spans="4:4" ht="13.5" customHeight="1" x14ac:dyDescent="0.25">
      <c r="D96" s="1"/>
    </row>
    <row r="97" spans="4:4" ht="13.5" customHeight="1" x14ac:dyDescent="0.25">
      <c r="D97" s="1"/>
    </row>
    <row r="98" spans="4:4" ht="13.5" customHeight="1" x14ac:dyDescent="0.25">
      <c r="D98" s="1"/>
    </row>
    <row r="99" spans="4:4" ht="13.5" customHeight="1" x14ac:dyDescent="0.25">
      <c r="D99" s="1"/>
    </row>
    <row r="100" spans="4:4" ht="13.5" customHeight="1" x14ac:dyDescent="0.25">
      <c r="D100" s="1"/>
    </row>
    <row r="101" spans="4:4" ht="13.5" customHeight="1" x14ac:dyDescent="0.25">
      <c r="D101" s="1"/>
    </row>
    <row r="102" spans="4:4" ht="13.5" customHeight="1" x14ac:dyDescent="0.25">
      <c r="D102" s="1"/>
    </row>
    <row r="103" spans="4:4" ht="13.5" customHeight="1" x14ac:dyDescent="0.25">
      <c r="D103" s="1"/>
    </row>
    <row r="104" spans="4:4" ht="13.5" customHeight="1" x14ac:dyDescent="0.25">
      <c r="D104" s="1"/>
    </row>
    <row r="105" spans="4:4" ht="13.5" customHeight="1" x14ac:dyDescent="0.25">
      <c r="D105" s="1"/>
    </row>
    <row r="106" spans="4:4" ht="13.5" customHeight="1" x14ac:dyDescent="0.25">
      <c r="D106" s="1"/>
    </row>
    <row r="107" spans="4:4" ht="13.5" customHeight="1" x14ac:dyDescent="0.25">
      <c r="D107" s="1"/>
    </row>
    <row r="108" spans="4:4" ht="13.5" customHeight="1" x14ac:dyDescent="0.25">
      <c r="D108" s="1"/>
    </row>
    <row r="109" spans="4:4" ht="13.5" customHeight="1" x14ac:dyDescent="0.25">
      <c r="D109" s="1"/>
    </row>
    <row r="110" spans="4:4" ht="13.5" customHeight="1" x14ac:dyDescent="0.25">
      <c r="D110" s="1"/>
    </row>
    <row r="111" spans="4:4" ht="13.5" customHeight="1" x14ac:dyDescent="0.25">
      <c r="D111" s="1"/>
    </row>
    <row r="112" spans="4:4" ht="13.5" customHeight="1" x14ac:dyDescent="0.25">
      <c r="D112" s="1"/>
    </row>
    <row r="113" spans="4:4" ht="13.5" customHeight="1" x14ac:dyDescent="0.25">
      <c r="D113" s="1"/>
    </row>
    <row r="114" spans="4:4" ht="13.5" customHeight="1" x14ac:dyDescent="0.25">
      <c r="D114" s="1"/>
    </row>
    <row r="115" spans="4:4" ht="13.5" customHeight="1" x14ac:dyDescent="0.25">
      <c r="D115" s="1"/>
    </row>
    <row r="116" spans="4:4" ht="13.5" customHeight="1" x14ac:dyDescent="0.25">
      <c r="D116" s="1"/>
    </row>
    <row r="117" spans="4:4" ht="13.5" customHeight="1" x14ac:dyDescent="0.25">
      <c r="D117" s="1"/>
    </row>
    <row r="118" spans="4:4" ht="13.5" customHeight="1" x14ac:dyDescent="0.25">
      <c r="D118" s="1"/>
    </row>
    <row r="119" spans="4:4" ht="13.5" customHeight="1" x14ac:dyDescent="0.25">
      <c r="D119" s="1"/>
    </row>
    <row r="120" spans="4:4" ht="13.5" customHeight="1" x14ac:dyDescent="0.25">
      <c r="D120" s="1"/>
    </row>
    <row r="121" spans="4:4" ht="13.5" customHeight="1" x14ac:dyDescent="0.25">
      <c r="D121" s="1"/>
    </row>
    <row r="122" spans="4:4" ht="13.5" customHeight="1" x14ac:dyDescent="0.25">
      <c r="D122" s="1"/>
    </row>
    <row r="123" spans="4:4" ht="13.5" customHeight="1" x14ac:dyDescent="0.25">
      <c r="D123" s="1"/>
    </row>
    <row r="124" spans="4:4" ht="13.5" customHeight="1" x14ac:dyDescent="0.25">
      <c r="D124" s="1"/>
    </row>
    <row r="125" spans="4:4" ht="13.5" customHeight="1" x14ac:dyDescent="0.25">
      <c r="D125" s="1"/>
    </row>
    <row r="126" spans="4:4" ht="13.5" customHeight="1" x14ac:dyDescent="0.25">
      <c r="D126" s="1"/>
    </row>
    <row r="127" spans="4:4" ht="13.5" customHeight="1" x14ac:dyDescent="0.25">
      <c r="D127" s="1"/>
    </row>
    <row r="128" spans="4:4" ht="13.5" customHeight="1" x14ac:dyDescent="0.25">
      <c r="D128" s="1"/>
    </row>
    <row r="129" spans="4:4" ht="13.5" customHeight="1" x14ac:dyDescent="0.25">
      <c r="D129" s="1"/>
    </row>
    <row r="130" spans="4:4" ht="13.5" customHeight="1" x14ac:dyDescent="0.25">
      <c r="D130" s="1"/>
    </row>
    <row r="131" spans="4:4" ht="13.5" customHeight="1" x14ac:dyDescent="0.25">
      <c r="D131" s="1"/>
    </row>
    <row r="132" spans="4:4" ht="13.5" customHeight="1" x14ac:dyDescent="0.25">
      <c r="D132" s="1"/>
    </row>
    <row r="133" spans="4:4" ht="13.5" customHeight="1" x14ac:dyDescent="0.25">
      <c r="D133" s="1"/>
    </row>
    <row r="134" spans="4:4" ht="13.5" customHeight="1" x14ac:dyDescent="0.25">
      <c r="D134" s="1"/>
    </row>
    <row r="135" spans="4:4" ht="13.5" customHeight="1" x14ac:dyDescent="0.25">
      <c r="D135" s="1"/>
    </row>
    <row r="136" spans="4:4" ht="13.5" customHeight="1" x14ac:dyDescent="0.25">
      <c r="D136" s="1"/>
    </row>
    <row r="137" spans="4:4" ht="13.5" customHeight="1" x14ac:dyDescent="0.25">
      <c r="D137" s="1"/>
    </row>
    <row r="138" spans="4:4" ht="13.5" customHeight="1" x14ac:dyDescent="0.25">
      <c r="D138" s="1"/>
    </row>
    <row r="139" spans="4:4" ht="13.5" customHeight="1" x14ac:dyDescent="0.25">
      <c r="D139" s="1"/>
    </row>
    <row r="140" spans="4:4" ht="13.5" customHeight="1" x14ac:dyDescent="0.25">
      <c r="D140" s="1"/>
    </row>
    <row r="141" spans="4:4" ht="13.5" customHeight="1" x14ac:dyDescent="0.25">
      <c r="D141" s="1"/>
    </row>
    <row r="142" spans="4:4" ht="13.5" customHeight="1" x14ac:dyDescent="0.25">
      <c r="D142" s="1"/>
    </row>
    <row r="143" spans="4:4" ht="13.5" customHeight="1" x14ac:dyDescent="0.25">
      <c r="D143" s="1"/>
    </row>
    <row r="144" spans="4:4" ht="13.5" customHeight="1" x14ac:dyDescent="0.25">
      <c r="D144" s="1"/>
    </row>
    <row r="145" spans="4:4" ht="13.5" customHeight="1" x14ac:dyDescent="0.25">
      <c r="D145" s="1"/>
    </row>
    <row r="146" spans="4:4" ht="13.5" customHeight="1" x14ac:dyDescent="0.25">
      <c r="D146" s="1"/>
    </row>
    <row r="147" spans="4:4" ht="13.5" customHeight="1" x14ac:dyDescent="0.25">
      <c r="D147" s="1"/>
    </row>
    <row r="148" spans="4:4" ht="13.5" customHeight="1" x14ac:dyDescent="0.25">
      <c r="D148" s="1"/>
    </row>
    <row r="149" spans="4:4" ht="13.5" customHeight="1" x14ac:dyDescent="0.25">
      <c r="D149" s="1"/>
    </row>
    <row r="150" spans="4:4" ht="13.5" customHeight="1" x14ac:dyDescent="0.25">
      <c r="D150" s="1"/>
    </row>
    <row r="151" spans="4:4" ht="13.5" customHeight="1" x14ac:dyDescent="0.25">
      <c r="D151" s="1"/>
    </row>
    <row r="152" spans="4:4" ht="13.5" customHeight="1" x14ac:dyDescent="0.25">
      <c r="D152" s="1"/>
    </row>
    <row r="153" spans="4:4" ht="13.5" customHeight="1" x14ac:dyDescent="0.25">
      <c r="D153" s="1"/>
    </row>
    <row r="154" spans="4:4" ht="13.5" customHeight="1" x14ac:dyDescent="0.25">
      <c r="D154" s="1"/>
    </row>
    <row r="155" spans="4:4" ht="13.5" customHeight="1" x14ac:dyDescent="0.25">
      <c r="D155" s="1"/>
    </row>
    <row r="156" spans="4:4" ht="13.5" customHeight="1" x14ac:dyDescent="0.25">
      <c r="D156" s="1"/>
    </row>
    <row r="157" spans="4:4" ht="13.5" customHeight="1" x14ac:dyDescent="0.25">
      <c r="D157" s="1"/>
    </row>
    <row r="158" spans="4:4" ht="13.5" customHeight="1" x14ac:dyDescent="0.25">
      <c r="D158" s="1"/>
    </row>
    <row r="159" spans="4:4" ht="13.5" customHeight="1" x14ac:dyDescent="0.25">
      <c r="D159" s="1"/>
    </row>
    <row r="160" spans="4:4" ht="13.5" customHeight="1" x14ac:dyDescent="0.25">
      <c r="D160" s="1"/>
    </row>
    <row r="161" spans="4:4" ht="13.5" customHeight="1" x14ac:dyDescent="0.25">
      <c r="D161" s="1"/>
    </row>
    <row r="162" spans="4:4" ht="13.5" customHeight="1" x14ac:dyDescent="0.25">
      <c r="D162" s="1"/>
    </row>
    <row r="163" spans="4:4" ht="13.5" customHeight="1" x14ac:dyDescent="0.25">
      <c r="D163" s="1"/>
    </row>
    <row r="164" spans="4:4" ht="13.5" customHeight="1" x14ac:dyDescent="0.25">
      <c r="D164" s="1"/>
    </row>
    <row r="165" spans="4:4" ht="13.5" customHeight="1" x14ac:dyDescent="0.25">
      <c r="D165" s="1"/>
    </row>
    <row r="166" spans="4:4" ht="13.5" customHeight="1" x14ac:dyDescent="0.25">
      <c r="D166" s="1"/>
    </row>
    <row r="167" spans="4:4" ht="13.5" customHeight="1" x14ac:dyDescent="0.25">
      <c r="D167" s="1"/>
    </row>
    <row r="168" spans="4:4" ht="13.5" customHeight="1" x14ac:dyDescent="0.25">
      <c r="D168" s="1"/>
    </row>
    <row r="169" spans="4:4" ht="13.5" customHeight="1" x14ac:dyDescent="0.25">
      <c r="D169" s="1"/>
    </row>
    <row r="170" spans="4:4" ht="13.5" customHeight="1" x14ac:dyDescent="0.25">
      <c r="D170" s="1"/>
    </row>
    <row r="171" spans="4:4" ht="13.5" customHeight="1" x14ac:dyDescent="0.25">
      <c r="D171" s="1"/>
    </row>
    <row r="172" spans="4:4" ht="13.5" customHeight="1" x14ac:dyDescent="0.25">
      <c r="D172" s="1"/>
    </row>
    <row r="173" spans="4:4" ht="13.5" customHeight="1" x14ac:dyDescent="0.25">
      <c r="D173" s="1"/>
    </row>
    <row r="174" spans="4:4" ht="13.5" customHeight="1" x14ac:dyDescent="0.25">
      <c r="D174" s="1"/>
    </row>
    <row r="175" spans="4:4" ht="13.5" customHeight="1" x14ac:dyDescent="0.25">
      <c r="D175" s="1"/>
    </row>
    <row r="176" spans="4:4" ht="13.5" customHeight="1" x14ac:dyDescent="0.25">
      <c r="D176" s="1"/>
    </row>
    <row r="177" spans="4:4" ht="13.5" customHeight="1" x14ac:dyDescent="0.25">
      <c r="D177" s="1"/>
    </row>
    <row r="178" spans="4:4" ht="13.5" customHeight="1" x14ac:dyDescent="0.25">
      <c r="D178" s="1"/>
    </row>
    <row r="179" spans="4:4" ht="13.5" customHeight="1" x14ac:dyDescent="0.25">
      <c r="D179" s="1"/>
    </row>
    <row r="180" spans="4:4" ht="13.5" customHeight="1" x14ac:dyDescent="0.25">
      <c r="D180" s="1"/>
    </row>
    <row r="181" spans="4:4" ht="13.5" customHeight="1" x14ac:dyDescent="0.25">
      <c r="D181" s="1"/>
    </row>
    <row r="182" spans="4:4" ht="13.5" customHeight="1" x14ac:dyDescent="0.25">
      <c r="D182" s="1"/>
    </row>
    <row r="183" spans="4:4" ht="13.5" customHeight="1" x14ac:dyDescent="0.25">
      <c r="D183" s="1"/>
    </row>
    <row r="184" spans="4:4" ht="13.5" customHeight="1" x14ac:dyDescent="0.25">
      <c r="D184" s="1"/>
    </row>
    <row r="185" spans="4:4" ht="13.5" customHeight="1" x14ac:dyDescent="0.25">
      <c r="D185" s="1"/>
    </row>
    <row r="186" spans="4:4" ht="13.5" customHeight="1" x14ac:dyDescent="0.25">
      <c r="D186" s="1"/>
    </row>
    <row r="187" spans="4:4" ht="13.5" customHeight="1" x14ac:dyDescent="0.25">
      <c r="D187" s="1"/>
    </row>
    <row r="188" spans="4:4" ht="13.5" customHeight="1" x14ac:dyDescent="0.25">
      <c r="D188" s="1"/>
    </row>
    <row r="189" spans="4:4" ht="13.5" customHeight="1" x14ac:dyDescent="0.25">
      <c r="D189" s="1"/>
    </row>
    <row r="190" spans="4:4" ht="13.5" customHeight="1" x14ac:dyDescent="0.25">
      <c r="D190" s="1"/>
    </row>
    <row r="191" spans="4:4" ht="13.5" customHeight="1" x14ac:dyDescent="0.25">
      <c r="D191" s="1"/>
    </row>
    <row r="192" spans="4:4" ht="13.5" customHeight="1" x14ac:dyDescent="0.25">
      <c r="D192" s="1"/>
    </row>
    <row r="193" spans="4:4" ht="13.5" customHeight="1" x14ac:dyDescent="0.25">
      <c r="D193" s="1"/>
    </row>
    <row r="194" spans="4:4" ht="13.5" customHeight="1" x14ac:dyDescent="0.25">
      <c r="D194" s="1"/>
    </row>
    <row r="195" spans="4:4" ht="13.5" customHeight="1" x14ac:dyDescent="0.25">
      <c r="D195" s="1"/>
    </row>
    <row r="196" spans="4:4" ht="13.5" customHeight="1" x14ac:dyDescent="0.25">
      <c r="D196" s="1"/>
    </row>
    <row r="197" spans="4:4" ht="13.5" customHeight="1" x14ac:dyDescent="0.25">
      <c r="D197" s="1"/>
    </row>
    <row r="198" spans="4:4" ht="13.5" customHeight="1" x14ac:dyDescent="0.25">
      <c r="D198" s="1"/>
    </row>
    <row r="199" spans="4:4" ht="13.5" customHeight="1" x14ac:dyDescent="0.25">
      <c r="D199" s="1"/>
    </row>
    <row r="200" spans="4:4" ht="13.5" customHeight="1" x14ac:dyDescent="0.25">
      <c r="D200" s="1"/>
    </row>
    <row r="201" spans="4:4" ht="13.5" customHeight="1" x14ac:dyDescent="0.25">
      <c r="D201" s="1"/>
    </row>
    <row r="202" spans="4:4" ht="13.5" customHeight="1" x14ac:dyDescent="0.25">
      <c r="D202" s="1"/>
    </row>
    <row r="203" spans="4:4" ht="13.5" customHeight="1" x14ac:dyDescent="0.25">
      <c r="D203" s="1"/>
    </row>
    <row r="204" spans="4:4" ht="13.5" customHeight="1" x14ac:dyDescent="0.25">
      <c r="D204" s="1"/>
    </row>
    <row r="205" spans="4:4" ht="13.5" customHeight="1" x14ac:dyDescent="0.25">
      <c r="D205" s="1"/>
    </row>
    <row r="206" spans="4:4" ht="13.5" customHeight="1" x14ac:dyDescent="0.25">
      <c r="D206" s="1"/>
    </row>
    <row r="207" spans="4:4" ht="13.5" customHeight="1" x14ac:dyDescent="0.25">
      <c r="D207" s="1"/>
    </row>
    <row r="208" spans="4:4" ht="13.5" customHeight="1" x14ac:dyDescent="0.25">
      <c r="D208" s="1"/>
    </row>
    <row r="209" spans="4:4" ht="13.5" customHeight="1" x14ac:dyDescent="0.25">
      <c r="D209" s="1"/>
    </row>
    <row r="210" spans="4:4" ht="13.5" customHeight="1" x14ac:dyDescent="0.25">
      <c r="D210" s="1"/>
    </row>
    <row r="211" spans="4:4" ht="13.5" customHeight="1" x14ac:dyDescent="0.25">
      <c r="D211" s="1"/>
    </row>
    <row r="212" spans="4:4" ht="13.5" customHeight="1" x14ac:dyDescent="0.25">
      <c r="D212" s="1"/>
    </row>
    <row r="213" spans="4:4" ht="13.5" customHeight="1" x14ac:dyDescent="0.25">
      <c r="D213" s="1"/>
    </row>
    <row r="214" spans="4:4" ht="13.5" customHeight="1" x14ac:dyDescent="0.25">
      <c r="D214" s="1"/>
    </row>
    <row r="215" spans="4:4" ht="13.5" customHeight="1" x14ac:dyDescent="0.25">
      <c r="D215" s="1"/>
    </row>
    <row r="216" spans="4:4" ht="13.5" customHeight="1" x14ac:dyDescent="0.25">
      <c r="D216" s="1"/>
    </row>
    <row r="217" spans="4:4" ht="13.5" customHeight="1" x14ac:dyDescent="0.25">
      <c r="D217" s="1"/>
    </row>
    <row r="218" spans="4:4" ht="13.5" customHeight="1" x14ac:dyDescent="0.25">
      <c r="D218" s="1"/>
    </row>
    <row r="219" spans="4:4" ht="13.5" customHeight="1" x14ac:dyDescent="0.25">
      <c r="D219" s="1"/>
    </row>
    <row r="220" spans="4:4" ht="13.5" customHeight="1" x14ac:dyDescent="0.25">
      <c r="D220" s="1"/>
    </row>
    <row r="221" spans="4:4" ht="13.5" customHeight="1" x14ac:dyDescent="0.25">
      <c r="D221" s="1"/>
    </row>
    <row r="222" spans="4:4" ht="13.5" customHeight="1" x14ac:dyDescent="0.25">
      <c r="D222" s="1"/>
    </row>
    <row r="223" spans="4:4" ht="13.5" customHeight="1" x14ac:dyDescent="0.25">
      <c r="D223" s="1"/>
    </row>
    <row r="224" spans="4:4" ht="13.5" customHeight="1" x14ac:dyDescent="0.25">
      <c r="D224" s="1"/>
    </row>
    <row r="225" spans="4:4" ht="13.5" customHeight="1" x14ac:dyDescent="0.25">
      <c r="D225" s="1"/>
    </row>
    <row r="226" spans="4:4" ht="13.5" customHeight="1" x14ac:dyDescent="0.25">
      <c r="D226" s="1"/>
    </row>
    <row r="227" spans="4:4" ht="13.5" customHeight="1" x14ac:dyDescent="0.25">
      <c r="D227" s="1"/>
    </row>
    <row r="228" spans="4:4" ht="13.5" customHeight="1" x14ac:dyDescent="0.25">
      <c r="D228" s="1"/>
    </row>
    <row r="229" spans="4:4" ht="13.5" customHeight="1" x14ac:dyDescent="0.25">
      <c r="D229" s="1"/>
    </row>
    <row r="230" spans="4:4" ht="13.5" customHeight="1" x14ac:dyDescent="0.25">
      <c r="D230" s="1"/>
    </row>
    <row r="231" spans="4:4" ht="13.5" customHeight="1" x14ac:dyDescent="0.25">
      <c r="D231" s="1"/>
    </row>
    <row r="232" spans="4:4" ht="13.5" customHeight="1" x14ac:dyDescent="0.25">
      <c r="D232" s="1"/>
    </row>
    <row r="233" spans="4:4" ht="13.5" customHeight="1" x14ac:dyDescent="0.25">
      <c r="D233" s="1"/>
    </row>
    <row r="234" spans="4:4" ht="13.5" customHeight="1" x14ac:dyDescent="0.25">
      <c r="D234" s="1"/>
    </row>
    <row r="235" spans="4:4" ht="13.5" customHeight="1" x14ac:dyDescent="0.25">
      <c r="D235" s="1"/>
    </row>
    <row r="236" spans="4:4" ht="13.5" customHeight="1" x14ac:dyDescent="0.25">
      <c r="D236" s="1"/>
    </row>
    <row r="237" spans="4:4" ht="13.5" customHeight="1" x14ac:dyDescent="0.25">
      <c r="D237" s="1"/>
    </row>
    <row r="238" spans="4:4" ht="13.5" customHeight="1" x14ac:dyDescent="0.25">
      <c r="D238" s="1"/>
    </row>
    <row r="239" spans="4:4" ht="13.5" customHeight="1" x14ac:dyDescent="0.25">
      <c r="D239" s="1"/>
    </row>
    <row r="240" spans="4:4" ht="13.5" customHeight="1" x14ac:dyDescent="0.25">
      <c r="D240" s="1"/>
    </row>
    <row r="241" spans="4:4" ht="13.5" customHeight="1" x14ac:dyDescent="0.25">
      <c r="D241" s="1"/>
    </row>
    <row r="242" spans="4:4" ht="13.5" customHeight="1" x14ac:dyDescent="0.25">
      <c r="D242" s="1"/>
    </row>
    <row r="243" spans="4:4" ht="13.5" customHeight="1" x14ac:dyDescent="0.25">
      <c r="D243" s="1"/>
    </row>
    <row r="244" spans="4:4" ht="13.5" customHeight="1" x14ac:dyDescent="0.25">
      <c r="D244" s="1"/>
    </row>
    <row r="245" spans="4:4" ht="13.5" customHeight="1" x14ac:dyDescent="0.25">
      <c r="D245" s="1"/>
    </row>
    <row r="246" spans="4:4" ht="13.5" customHeight="1" x14ac:dyDescent="0.25">
      <c r="D246" s="1"/>
    </row>
    <row r="247" spans="4:4" ht="13.5" customHeight="1" x14ac:dyDescent="0.25">
      <c r="D247" s="1"/>
    </row>
    <row r="248" spans="4:4" ht="13.5" customHeight="1" x14ac:dyDescent="0.25">
      <c r="D248" s="1"/>
    </row>
    <row r="249" spans="4:4" ht="13.5" customHeight="1" x14ac:dyDescent="0.25">
      <c r="D249" s="1"/>
    </row>
    <row r="250" spans="4:4" ht="13.5" customHeight="1" x14ac:dyDescent="0.25">
      <c r="D250" s="1"/>
    </row>
    <row r="251" spans="4:4" ht="13.5" customHeight="1" x14ac:dyDescent="0.25">
      <c r="D251" s="1"/>
    </row>
    <row r="252" spans="4:4" ht="13.5" customHeight="1" x14ac:dyDescent="0.25">
      <c r="D252" s="1"/>
    </row>
    <row r="253" spans="4:4" ht="13.5" customHeight="1" x14ac:dyDescent="0.25">
      <c r="D253" s="1"/>
    </row>
    <row r="254" spans="4:4" ht="13.5" customHeight="1" x14ac:dyDescent="0.25">
      <c r="D254" s="1"/>
    </row>
    <row r="255" spans="4:4" ht="13.5" customHeight="1" x14ac:dyDescent="0.25">
      <c r="D255" s="1"/>
    </row>
    <row r="256" spans="4:4" ht="13.5" customHeight="1" x14ac:dyDescent="0.25">
      <c r="D256" s="1"/>
    </row>
    <row r="257" spans="4:4" ht="13.5" customHeight="1" x14ac:dyDescent="0.25">
      <c r="D257" s="1"/>
    </row>
    <row r="258" spans="4:4" ht="13.5" customHeight="1" x14ac:dyDescent="0.25">
      <c r="D258" s="1"/>
    </row>
    <row r="259" spans="4:4" ht="13.5" customHeight="1" x14ac:dyDescent="0.25">
      <c r="D259" s="1"/>
    </row>
    <row r="260" spans="4:4" ht="13.5" customHeight="1" x14ac:dyDescent="0.25">
      <c r="D260" s="1"/>
    </row>
    <row r="261" spans="4:4" ht="13.5" customHeight="1" x14ac:dyDescent="0.25">
      <c r="D261" s="1"/>
    </row>
    <row r="262" spans="4:4" ht="13.5" customHeight="1" x14ac:dyDescent="0.25">
      <c r="D262" s="1"/>
    </row>
    <row r="263" spans="4:4" ht="13.5" customHeight="1" x14ac:dyDescent="0.25">
      <c r="D263" s="1"/>
    </row>
    <row r="264" spans="4:4" ht="13.5" customHeight="1" x14ac:dyDescent="0.25">
      <c r="D264" s="1"/>
    </row>
    <row r="265" spans="4:4" ht="13.5" customHeight="1" x14ac:dyDescent="0.25">
      <c r="D265" s="1"/>
    </row>
    <row r="266" spans="4:4" ht="13.5" customHeight="1" x14ac:dyDescent="0.25">
      <c r="D266" s="1"/>
    </row>
    <row r="267" spans="4:4" ht="13.5" customHeight="1" x14ac:dyDescent="0.25">
      <c r="D267" s="1"/>
    </row>
    <row r="268" spans="4:4" ht="13.5" customHeight="1" x14ac:dyDescent="0.25">
      <c r="D268" s="1"/>
    </row>
    <row r="269" spans="4:4" ht="13.5" customHeight="1" x14ac:dyDescent="0.25">
      <c r="D269" s="1"/>
    </row>
    <row r="270" spans="4:4" ht="13.5" customHeight="1" x14ac:dyDescent="0.25">
      <c r="D270" s="1"/>
    </row>
    <row r="271" spans="4:4" ht="13.5" customHeight="1" x14ac:dyDescent="0.25">
      <c r="D271" s="1"/>
    </row>
    <row r="272" spans="4:4" ht="13.5" customHeight="1" x14ac:dyDescent="0.25">
      <c r="D272" s="1"/>
    </row>
    <row r="273" spans="4:4" ht="13.5" customHeight="1" x14ac:dyDescent="0.25">
      <c r="D273" s="1"/>
    </row>
    <row r="274" spans="4:4" ht="13.5" customHeight="1" x14ac:dyDescent="0.25">
      <c r="D274" s="1"/>
    </row>
    <row r="275" spans="4:4" ht="13.5" customHeight="1" x14ac:dyDescent="0.25">
      <c r="D275" s="1"/>
    </row>
    <row r="276" spans="4:4" ht="13.5" customHeight="1" x14ac:dyDescent="0.25">
      <c r="D276" s="1"/>
    </row>
    <row r="277" spans="4:4" ht="13.5" customHeight="1" x14ac:dyDescent="0.25">
      <c r="D277" s="1"/>
    </row>
    <row r="278" spans="4:4" ht="13.5" customHeight="1" x14ac:dyDescent="0.25">
      <c r="D278" s="1"/>
    </row>
    <row r="279" spans="4:4" ht="13.5" customHeight="1" x14ac:dyDescent="0.25">
      <c r="D279" s="1"/>
    </row>
    <row r="280" spans="4:4" ht="13.5" customHeight="1" x14ac:dyDescent="0.25">
      <c r="D280" s="1"/>
    </row>
    <row r="281" spans="4:4" ht="13.5" customHeight="1" x14ac:dyDescent="0.25">
      <c r="D281" s="1"/>
    </row>
    <row r="282" spans="4:4" ht="13.5" customHeight="1" x14ac:dyDescent="0.25">
      <c r="D282" s="1"/>
    </row>
    <row r="283" spans="4:4" ht="13.5" customHeight="1" x14ac:dyDescent="0.25">
      <c r="D283" s="1"/>
    </row>
    <row r="284" spans="4:4" ht="13.5" customHeight="1" x14ac:dyDescent="0.25">
      <c r="D284" s="1"/>
    </row>
    <row r="285" spans="4:4" ht="13.5" customHeight="1" x14ac:dyDescent="0.25">
      <c r="D285" s="1"/>
    </row>
    <row r="286" spans="4:4" ht="13.5" customHeight="1" x14ac:dyDescent="0.25">
      <c r="D286" s="1"/>
    </row>
    <row r="287" spans="4:4" ht="13.5" customHeight="1" x14ac:dyDescent="0.25">
      <c r="D287" s="1"/>
    </row>
    <row r="288" spans="4:4" ht="13.5" customHeight="1" x14ac:dyDescent="0.25">
      <c r="D288" s="1"/>
    </row>
    <row r="289" spans="4:4" ht="13.5" customHeight="1" x14ac:dyDescent="0.25">
      <c r="D289" s="1"/>
    </row>
    <row r="290" spans="4:4" ht="13.5" customHeight="1" x14ac:dyDescent="0.25">
      <c r="D290" s="1"/>
    </row>
    <row r="291" spans="4:4" ht="13.5" customHeight="1" x14ac:dyDescent="0.25">
      <c r="D291" s="1"/>
    </row>
    <row r="292" spans="4:4" ht="13.5" customHeight="1" x14ac:dyDescent="0.25">
      <c r="D292" s="1"/>
    </row>
    <row r="293" spans="4:4" ht="13.5" customHeight="1" x14ac:dyDescent="0.25">
      <c r="D293" s="1"/>
    </row>
    <row r="294" spans="4:4" ht="13.5" customHeight="1" x14ac:dyDescent="0.25">
      <c r="D294" s="1"/>
    </row>
    <row r="295" spans="4:4" ht="13.5" customHeight="1" x14ac:dyDescent="0.25">
      <c r="D295" s="1"/>
    </row>
    <row r="296" spans="4:4" ht="13.5" customHeight="1" x14ac:dyDescent="0.25">
      <c r="D296" s="1"/>
    </row>
    <row r="297" spans="4:4" ht="13.5" customHeight="1" x14ac:dyDescent="0.25">
      <c r="D297" s="1"/>
    </row>
    <row r="298" spans="4:4" ht="13.5" customHeight="1" x14ac:dyDescent="0.25">
      <c r="D298" s="1"/>
    </row>
    <row r="299" spans="4:4" ht="13.5" customHeight="1" x14ac:dyDescent="0.25">
      <c r="D299" s="1"/>
    </row>
    <row r="300" spans="4:4" ht="13.5" customHeight="1" x14ac:dyDescent="0.25">
      <c r="D300" s="1"/>
    </row>
    <row r="301" spans="4:4" ht="13.5" customHeight="1" x14ac:dyDescent="0.25">
      <c r="D301" s="1"/>
    </row>
    <row r="302" spans="4:4" ht="13.5" customHeight="1" x14ac:dyDescent="0.25">
      <c r="D302" s="1"/>
    </row>
    <row r="303" spans="4:4" ht="13.5" customHeight="1" x14ac:dyDescent="0.25">
      <c r="D303" s="1"/>
    </row>
    <row r="304" spans="4:4" ht="13.5" customHeight="1" x14ac:dyDescent="0.25">
      <c r="D304" s="1"/>
    </row>
    <row r="305" spans="4:4" ht="13.5" customHeight="1" x14ac:dyDescent="0.25">
      <c r="D305" s="1"/>
    </row>
    <row r="306" spans="4:4" ht="13.5" customHeight="1" x14ac:dyDescent="0.25">
      <c r="D306" s="1"/>
    </row>
    <row r="307" spans="4:4" ht="13.5" customHeight="1" x14ac:dyDescent="0.25">
      <c r="D307" s="1"/>
    </row>
    <row r="308" spans="4:4" ht="13.5" customHeight="1" x14ac:dyDescent="0.25">
      <c r="D308" s="1"/>
    </row>
    <row r="309" spans="4:4" ht="13.5" customHeight="1" x14ac:dyDescent="0.25">
      <c r="D309" s="1"/>
    </row>
    <row r="310" spans="4:4" ht="13.5" customHeight="1" x14ac:dyDescent="0.25">
      <c r="D310" s="1"/>
    </row>
    <row r="311" spans="4:4" ht="13.5" customHeight="1" x14ac:dyDescent="0.25">
      <c r="D311" s="1"/>
    </row>
    <row r="312" spans="4:4" ht="13.5" customHeight="1" x14ac:dyDescent="0.25">
      <c r="D312" s="1"/>
    </row>
    <row r="313" spans="4:4" ht="13.5" customHeight="1" x14ac:dyDescent="0.25">
      <c r="D313" s="1"/>
    </row>
    <row r="314" spans="4:4" ht="13.5" customHeight="1" x14ac:dyDescent="0.25">
      <c r="D314" s="1"/>
    </row>
    <row r="315" spans="4:4" ht="13.5" customHeight="1" x14ac:dyDescent="0.25">
      <c r="D315" s="1"/>
    </row>
    <row r="316" spans="4:4" ht="13.5" customHeight="1" x14ac:dyDescent="0.25">
      <c r="D316" s="1"/>
    </row>
    <row r="317" spans="4:4" ht="13.5" customHeight="1" x14ac:dyDescent="0.25">
      <c r="D317" s="1"/>
    </row>
    <row r="318" spans="4:4" ht="13.5" customHeight="1" x14ac:dyDescent="0.25">
      <c r="D318" s="1"/>
    </row>
    <row r="319" spans="4:4" ht="13.5" customHeight="1" x14ac:dyDescent="0.25">
      <c r="D319" s="1"/>
    </row>
    <row r="320" spans="4:4" ht="13.5" customHeight="1" x14ac:dyDescent="0.25">
      <c r="D320" s="1"/>
    </row>
    <row r="321" spans="4:4" ht="13.5" customHeight="1" x14ac:dyDescent="0.25">
      <c r="D321" s="1"/>
    </row>
    <row r="322" spans="4:4" ht="13.5" customHeight="1" x14ac:dyDescent="0.25">
      <c r="D322" s="1"/>
    </row>
    <row r="323" spans="4:4" ht="13.5" customHeight="1" x14ac:dyDescent="0.25">
      <c r="D323" s="1"/>
    </row>
    <row r="324" spans="4:4" ht="13.5" customHeight="1" x14ac:dyDescent="0.25">
      <c r="D324" s="1"/>
    </row>
    <row r="325" spans="4:4" ht="13.5" customHeight="1" x14ac:dyDescent="0.25">
      <c r="D325" s="1"/>
    </row>
    <row r="326" spans="4:4" ht="13.5" customHeight="1" x14ac:dyDescent="0.25">
      <c r="D326" s="1"/>
    </row>
    <row r="327" spans="4:4" ht="13.5" customHeight="1" x14ac:dyDescent="0.25">
      <c r="D327" s="1"/>
    </row>
    <row r="328" spans="4:4" ht="13.5" customHeight="1" x14ac:dyDescent="0.25">
      <c r="D328" s="1"/>
    </row>
    <row r="329" spans="4:4" ht="13.5" customHeight="1" x14ac:dyDescent="0.25">
      <c r="D329" s="1"/>
    </row>
    <row r="330" spans="4:4" ht="13.5" customHeight="1" x14ac:dyDescent="0.25">
      <c r="D330" s="1"/>
    </row>
    <row r="331" spans="4:4" ht="13.5" customHeight="1" x14ac:dyDescent="0.25">
      <c r="D331" s="1"/>
    </row>
    <row r="332" spans="4:4" ht="13.5" customHeight="1" x14ac:dyDescent="0.25">
      <c r="D332" s="1"/>
    </row>
    <row r="333" spans="4:4" ht="13.5" customHeight="1" x14ac:dyDescent="0.25">
      <c r="D333" s="1"/>
    </row>
    <row r="334" spans="4:4" ht="13.5" customHeight="1" x14ac:dyDescent="0.25">
      <c r="D334" s="1"/>
    </row>
    <row r="335" spans="4:4" ht="13.5" customHeight="1" x14ac:dyDescent="0.25">
      <c r="D335" s="1"/>
    </row>
    <row r="336" spans="4:4" ht="13.5" customHeight="1" x14ac:dyDescent="0.25">
      <c r="D336" s="1"/>
    </row>
    <row r="337" spans="4:4" ht="13.5" customHeight="1" x14ac:dyDescent="0.25">
      <c r="D337" s="1"/>
    </row>
    <row r="338" spans="4:4" ht="13.5" customHeight="1" x14ac:dyDescent="0.25">
      <c r="D338" s="1"/>
    </row>
    <row r="339" spans="4:4" ht="13.5" customHeight="1" x14ac:dyDescent="0.25">
      <c r="D339" s="1"/>
    </row>
    <row r="340" spans="4:4" ht="13.5" customHeight="1" x14ac:dyDescent="0.25">
      <c r="D340" s="1"/>
    </row>
    <row r="341" spans="4:4" ht="13.5" customHeight="1" x14ac:dyDescent="0.25">
      <c r="D341" s="1"/>
    </row>
    <row r="342" spans="4:4" ht="13.5" customHeight="1" x14ac:dyDescent="0.25">
      <c r="D342" s="1"/>
    </row>
    <row r="343" spans="4:4" ht="13.5" customHeight="1" x14ac:dyDescent="0.25">
      <c r="D343" s="1"/>
    </row>
    <row r="344" spans="4:4" ht="13.5" customHeight="1" x14ac:dyDescent="0.25">
      <c r="D344" s="1"/>
    </row>
    <row r="345" spans="4:4" ht="13.5" customHeight="1" x14ac:dyDescent="0.25">
      <c r="D345" s="1"/>
    </row>
    <row r="346" spans="4:4" ht="13.5" customHeight="1" x14ac:dyDescent="0.25">
      <c r="D346" s="1"/>
    </row>
    <row r="347" spans="4:4" ht="13.5" customHeight="1" x14ac:dyDescent="0.25">
      <c r="D347" s="1"/>
    </row>
    <row r="348" spans="4:4" ht="13.5" customHeight="1" x14ac:dyDescent="0.25">
      <c r="D348" s="1"/>
    </row>
    <row r="349" spans="4:4" ht="13.5" customHeight="1" x14ac:dyDescent="0.25">
      <c r="D349" s="1"/>
    </row>
    <row r="350" spans="4:4" ht="13.5" customHeight="1" x14ac:dyDescent="0.25">
      <c r="D350" s="1"/>
    </row>
    <row r="351" spans="4:4" ht="13.5" customHeight="1" x14ac:dyDescent="0.25">
      <c r="D351" s="1"/>
    </row>
    <row r="352" spans="4:4" ht="13.5" customHeight="1" x14ac:dyDescent="0.25">
      <c r="D352" s="1"/>
    </row>
    <row r="353" spans="4:4" ht="13.5" customHeight="1" x14ac:dyDescent="0.25">
      <c r="D353" s="1"/>
    </row>
    <row r="354" spans="4:4" ht="13.5" customHeight="1" x14ac:dyDescent="0.25">
      <c r="D354" s="1"/>
    </row>
    <row r="355" spans="4:4" ht="13.5" customHeight="1" x14ac:dyDescent="0.25">
      <c r="D355" s="1"/>
    </row>
    <row r="356" spans="4:4" ht="13.5" customHeight="1" x14ac:dyDescent="0.25">
      <c r="D356" s="1"/>
    </row>
    <row r="357" spans="4:4" ht="13.5" customHeight="1" x14ac:dyDescent="0.25">
      <c r="D357" s="1"/>
    </row>
    <row r="358" spans="4:4" ht="13.5" customHeight="1" x14ac:dyDescent="0.25">
      <c r="D358" s="1"/>
    </row>
    <row r="359" spans="4:4" ht="13.5" customHeight="1" x14ac:dyDescent="0.25">
      <c r="D359" s="1"/>
    </row>
    <row r="360" spans="4:4" ht="13.5" customHeight="1" x14ac:dyDescent="0.25">
      <c r="D360" s="1"/>
    </row>
    <row r="361" spans="4:4" ht="13.5" customHeight="1" x14ac:dyDescent="0.25">
      <c r="D361" s="1"/>
    </row>
    <row r="362" spans="4:4" ht="13.5" customHeight="1" x14ac:dyDescent="0.25">
      <c r="D362" s="1"/>
    </row>
    <row r="363" spans="4:4" ht="13.5" customHeight="1" x14ac:dyDescent="0.25">
      <c r="D363" s="1"/>
    </row>
    <row r="364" spans="4:4" ht="13.5" customHeight="1" x14ac:dyDescent="0.25">
      <c r="D364" s="1"/>
    </row>
    <row r="365" spans="4:4" ht="13.5" customHeight="1" x14ac:dyDescent="0.25">
      <c r="D365" s="1"/>
    </row>
    <row r="366" spans="4:4" ht="13.5" customHeight="1" x14ac:dyDescent="0.25">
      <c r="D366" s="1"/>
    </row>
    <row r="367" spans="4:4" ht="13.5" customHeight="1" x14ac:dyDescent="0.25">
      <c r="D367" s="1"/>
    </row>
    <row r="368" spans="4:4" ht="13.5" customHeight="1" x14ac:dyDescent="0.25">
      <c r="D368" s="1"/>
    </row>
    <row r="369" spans="4:4" ht="13.5" customHeight="1" x14ac:dyDescent="0.25">
      <c r="D369" s="1"/>
    </row>
    <row r="370" spans="4:4" ht="13.5" customHeight="1" x14ac:dyDescent="0.25">
      <c r="D370" s="1"/>
    </row>
    <row r="371" spans="4:4" ht="13.5" customHeight="1" x14ac:dyDescent="0.25">
      <c r="D371" s="1"/>
    </row>
    <row r="372" spans="4:4" ht="13.5" customHeight="1" x14ac:dyDescent="0.25">
      <c r="D372" s="1"/>
    </row>
    <row r="373" spans="4:4" ht="13.5" customHeight="1" x14ac:dyDescent="0.25">
      <c r="D373" s="1"/>
    </row>
    <row r="374" spans="4:4" ht="13.5" customHeight="1" x14ac:dyDescent="0.25">
      <c r="D374" s="1"/>
    </row>
    <row r="375" spans="4:4" ht="13.5" customHeight="1" x14ac:dyDescent="0.25">
      <c r="D375" s="1"/>
    </row>
    <row r="376" spans="4:4" ht="13.5" customHeight="1" x14ac:dyDescent="0.25">
      <c r="D376" s="1"/>
    </row>
    <row r="377" spans="4:4" ht="13.5" customHeight="1" x14ac:dyDescent="0.25">
      <c r="D377" s="1"/>
    </row>
    <row r="378" spans="4:4" ht="13.5" customHeight="1" x14ac:dyDescent="0.25">
      <c r="D378" s="1"/>
    </row>
    <row r="379" spans="4:4" ht="13.5" customHeight="1" x14ac:dyDescent="0.25">
      <c r="D379" s="1"/>
    </row>
    <row r="380" spans="4:4" ht="13.5" customHeight="1" x14ac:dyDescent="0.25">
      <c r="D380" s="1"/>
    </row>
    <row r="381" spans="4:4" ht="13.5" customHeight="1" x14ac:dyDescent="0.25">
      <c r="D381" s="1"/>
    </row>
    <row r="382" spans="4:4" ht="13.5" customHeight="1" x14ac:dyDescent="0.25">
      <c r="D382" s="1"/>
    </row>
    <row r="383" spans="4:4" ht="13.5" customHeight="1" x14ac:dyDescent="0.25">
      <c r="D383" s="1"/>
    </row>
    <row r="384" spans="4:4" ht="13.5" customHeight="1" x14ac:dyDescent="0.25">
      <c r="D384" s="1"/>
    </row>
    <row r="385" spans="4:4" ht="13.5" customHeight="1" x14ac:dyDescent="0.25">
      <c r="D385" s="1"/>
    </row>
    <row r="386" spans="4:4" ht="13.5" customHeight="1" x14ac:dyDescent="0.25">
      <c r="D386" s="1"/>
    </row>
    <row r="387" spans="4:4" ht="13.5" customHeight="1" x14ac:dyDescent="0.25">
      <c r="D387" s="1"/>
    </row>
    <row r="388" spans="4:4" ht="13.5" customHeight="1" x14ac:dyDescent="0.25">
      <c r="D388" s="1"/>
    </row>
    <row r="389" spans="4:4" ht="13.5" customHeight="1" x14ac:dyDescent="0.25">
      <c r="D389" s="1"/>
    </row>
    <row r="390" spans="4:4" ht="13.5" customHeight="1" x14ac:dyDescent="0.25">
      <c r="D390" s="1"/>
    </row>
    <row r="391" spans="4:4" ht="13.5" customHeight="1" x14ac:dyDescent="0.25">
      <c r="D391" s="1"/>
    </row>
    <row r="392" spans="4:4" ht="13.5" customHeight="1" x14ac:dyDescent="0.25">
      <c r="D392" s="1"/>
    </row>
    <row r="393" spans="4:4" ht="13.5" customHeight="1" x14ac:dyDescent="0.25">
      <c r="D393" s="1"/>
    </row>
    <row r="394" spans="4:4" ht="13.5" customHeight="1" x14ac:dyDescent="0.25">
      <c r="D394" s="1"/>
    </row>
    <row r="395" spans="4:4" ht="13.5" customHeight="1" x14ac:dyDescent="0.25">
      <c r="D395" s="1"/>
    </row>
    <row r="396" spans="4:4" ht="13.5" customHeight="1" x14ac:dyDescent="0.25">
      <c r="D396" s="1"/>
    </row>
    <row r="397" spans="4:4" ht="13.5" customHeight="1" x14ac:dyDescent="0.25">
      <c r="D397" s="1"/>
    </row>
    <row r="398" spans="4:4" ht="13.5" customHeight="1" x14ac:dyDescent="0.25">
      <c r="D398" s="1"/>
    </row>
    <row r="399" spans="4:4" ht="13.5" customHeight="1" x14ac:dyDescent="0.25">
      <c r="D399" s="1"/>
    </row>
    <row r="400" spans="4:4" ht="13.5" customHeight="1" x14ac:dyDescent="0.25">
      <c r="D400" s="1"/>
    </row>
    <row r="401" spans="4:4" ht="13.5" customHeight="1" x14ac:dyDescent="0.25">
      <c r="D401" s="1"/>
    </row>
    <row r="402" spans="4:4" ht="13.5" customHeight="1" x14ac:dyDescent="0.25">
      <c r="D402" s="1"/>
    </row>
    <row r="403" spans="4:4" ht="13.5" customHeight="1" x14ac:dyDescent="0.25">
      <c r="D403" s="1"/>
    </row>
    <row r="404" spans="4:4" ht="13.5" customHeight="1" x14ac:dyDescent="0.25">
      <c r="D404" s="1"/>
    </row>
    <row r="405" spans="4:4" ht="13.5" customHeight="1" x14ac:dyDescent="0.25">
      <c r="D405" s="1"/>
    </row>
    <row r="406" spans="4:4" ht="13.5" customHeight="1" x14ac:dyDescent="0.25">
      <c r="D406" s="1"/>
    </row>
    <row r="407" spans="4:4" ht="13.5" customHeight="1" x14ac:dyDescent="0.25">
      <c r="D407" s="1"/>
    </row>
    <row r="408" spans="4:4" ht="13.5" customHeight="1" x14ac:dyDescent="0.25">
      <c r="D408" s="1"/>
    </row>
    <row r="409" spans="4:4" ht="13.5" customHeight="1" x14ac:dyDescent="0.25">
      <c r="D409" s="1"/>
    </row>
    <row r="410" spans="4:4" ht="13.5" customHeight="1" x14ac:dyDescent="0.25">
      <c r="D410" s="1"/>
    </row>
    <row r="411" spans="4:4" ht="13.5" customHeight="1" x14ac:dyDescent="0.25">
      <c r="D411" s="1"/>
    </row>
    <row r="412" spans="4:4" ht="13.5" customHeight="1" x14ac:dyDescent="0.25">
      <c r="D412" s="1"/>
    </row>
    <row r="413" spans="4:4" ht="13.5" customHeight="1" x14ac:dyDescent="0.25">
      <c r="D413" s="1"/>
    </row>
    <row r="414" spans="4:4" ht="13.5" customHeight="1" x14ac:dyDescent="0.25">
      <c r="D414" s="1"/>
    </row>
    <row r="415" spans="4:4" ht="13.5" customHeight="1" x14ac:dyDescent="0.25">
      <c r="D415" s="1"/>
    </row>
    <row r="416" spans="4:4" ht="13.5" customHeight="1" x14ac:dyDescent="0.25">
      <c r="D416" s="1"/>
    </row>
    <row r="417" spans="4:4" ht="13.5" customHeight="1" x14ac:dyDescent="0.25">
      <c r="D417" s="1"/>
    </row>
    <row r="418" spans="4:4" ht="13.5" customHeight="1" x14ac:dyDescent="0.25">
      <c r="D418" s="1"/>
    </row>
    <row r="419" spans="4:4" ht="13.5" customHeight="1" x14ac:dyDescent="0.25">
      <c r="D419" s="1"/>
    </row>
    <row r="420" spans="4:4" ht="13.5" customHeight="1" x14ac:dyDescent="0.25">
      <c r="D420" s="1"/>
    </row>
    <row r="421" spans="4:4" ht="13.5" customHeight="1" x14ac:dyDescent="0.25">
      <c r="D421" s="1"/>
    </row>
    <row r="422" spans="4:4" ht="13.5" customHeight="1" x14ac:dyDescent="0.25">
      <c r="D422" s="1"/>
    </row>
    <row r="423" spans="4:4" ht="13.5" customHeight="1" x14ac:dyDescent="0.25">
      <c r="D423" s="1"/>
    </row>
    <row r="424" spans="4:4" ht="13.5" customHeight="1" x14ac:dyDescent="0.25">
      <c r="D424" s="1"/>
    </row>
    <row r="425" spans="4:4" ht="13.5" customHeight="1" x14ac:dyDescent="0.25">
      <c r="D425" s="1"/>
    </row>
    <row r="426" spans="4:4" ht="13.5" customHeight="1" x14ac:dyDescent="0.25">
      <c r="D426" s="1"/>
    </row>
    <row r="427" spans="4:4" ht="13.5" customHeight="1" x14ac:dyDescent="0.25">
      <c r="D427" s="1"/>
    </row>
    <row r="428" spans="4:4" ht="13.5" customHeight="1" x14ac:dyDescent="0.25">
      <c r="D428" s="1"/>
    </row>
    <row r="429" spans="4:4" ht="13.5" customHeight="1" x14ac:dyDescent="0.25">
      <c r="D429" s="1"/>
    </row>
    <row r="430" spans="4:4" ht="13.5" customHeight="1" x14ac:dyDescent="0.25">
      <c r="D430" s="1"/>
    </row>
    <row r="431" spans="4:4" ht="13.5" customHeight="1" x14ac:dyDescent="0.25">
      <c r="D431" s="1"/>
    </row>
    <row r="432" spans="4:4" ht="13.5" customHeight="1" x14ac:dyDescent="0.25">
      <c r="D432" s="1"/>
    </row>
    <row r="433" spans="4:4" ht="13.5" customHeight="1" x14ac:dyDescent="0.25">
      <c r="D433" s="1"/>
    </row>
    <row r="434" spans="4:4" ht="13.5" customHeight="1" x14ac:dyDescent="0.25">
      <c r="D434" s="1"/>
    </row>
    <row r="435" spans="4:4" ht="13.5" customHeight="1" x14ac:dyDescent="0.25">
      <c r="D435" s="1"/>
    </row>
    <row r="436" spans="4:4" ht="13.5" customHeight="1" x14ac:dyDescent="0.25">
      <c r="D436" s="1"/>
    </row>
    <row r="437" spans="4:4" ht="13.5" customHeight="1" x14ac:dyDescent="0.25">
      <c r="D437" s="1"/>
    </row>
    <row r="438" spans="4:4" ht="13.5" customHeight="1" x14ac:dyDescent="0.25">
      <c r="D438" s="1"/>
    </row>
    <row r="439" spans="4:4" ht="13.5" customHeight="1" x14ac:dyDescent="0.25">
      <c r="D439" s="1"/>
    </row>
    <row r="440" spans="4:4" ht="13.5" customHeight="1" x14ac:dyDescent="0.25">
      <c r="D440" s="1"/>
    </row>
    <row r="441" spans="4:4" ht="13.5" customHeight="1" x14ac:dyDescent="0.25">
      <c r="D441" s="1"/>
    </row>
    <row r="442" spans="4:4" ht="13.5" customHeight="1" x14ac:dyDescent="0.25">
      <c r="D442" s="1"/>
    </row>
    <row r="443" spans="4:4" ht="13.5" customHeight="1" x14ac:dyDescent="0.25">
      <c r="D443" s="1"/>
    </row>
    <row r="444" spans="4:4" ht="13.5" customHeight="1" x14ac:dyDescent="0.25">
      <c r="D444" s="1"/>
    </row>
    <row r="445" spans="4:4" ht="13.5" customHeight="1" x14ac:dyDescent="0.25">
      <c r="D445" s="1"/>
    </row>
    <row r="446" spans="4:4" ht="13.5" customHeight="1" x14ac:dyDescent="0.25">
      <c r="D446" s="1"/>
    </row>
    <row r="447" spans="4:4" ht="13.5" customHeight="1" x14ac:dyDescent="0.25">
      <c r="D447" s="1"/>
    </row>
    <row r="448" spans="4:4" ht="13.5" customHeight="1" x14ac:dyDescent="0.25">
      <c r="D448" s="1"/>
    </row>
    <row r="449" spans="4:4" ht="13.5" customHeight="1" x14ac:dyDescent="0.25">
      <c r="D449" s="1"/>
    </row>
    <row r="450" spans="4:4" ht="13.5" customHeight="1" x14ac:dyDescent="0.25">
      <c r="D450" s="1"/>
    </row>
    <row r="451" spans="4:4" ht="13.5" customHeight="1" x14ac:dyDescent="0.25">
      <c r="D451" s="1"/>
    </row>
    <row r="452" spans="4:4" ht="13.5" customHeight="1" x14ac:dyDescent="0.25">
      <c r="D452" s="1"/>
    </row>
    <row r="453" spans="4:4" ht="13.5" customHeight="1" x14ac:dyDescent="0.25">
      <c r="D453" s="1"/>
    </row>
    <row r="454" spans="4:4" ht="13.5" customHeight="1" x14ac:dyDescent="0.25">
      <c r="D454" s="1"/>
    </row>
    <row r="455" spans="4:4" ht="13.5" customHeight="1" x14ac:dyDescent="0.25">
      <c r="D455" s="1"/>
    </row>
    <row r="456" spans="4:4" ht="13.5" customHeight="1" x14ac:dyDescent="0.25">
      <c r="D456" s="1"/>
    </row>
    <row r="457" spans="4:4" ht="13.5" customHeight="1" x14ac:dyDescent="0.25">
      <c r="D457" s="1"/>
    </row>
    <row r="458" spans="4:4" ht="13.5" customHeight="1" x14ac:dyDescent="0.25">
      <c r="D458" s="1"/>
    </row>
    <row r="459" spans="4:4" ht="13.5" customHeight="1" x14ac:dyDescent="0.25">
      <c r="D459" s="1"/>
    </row>
    <row r="460" spans="4:4" ht="13.5" customHeight="1" x14ac:dyDescent="0.25">
      <c r="D460" s="1"/>
    </row>
    <row r="461" spans="4:4" ht="13.5" customHeight="1" x14ac:dyDescent="0.25">
      <c r="D461" s="1"/>
    </row>
    <row r="462" spans="4:4" ht="13.5" customHeight="1" x14ac:dyDescent="0.25">
      <c r="D462" s="1"/>
    </row>
    <row r="463" spans="4:4" ht="13.5" customHeight="1" x14ac:dyDescent="0.25">
      <c r="D463" s="1"/>
    </row>
    <row r="464" spans="4:4" ht="13.5" customHeight="1" x14ac:dyDescent="0.25">
      <c r="D464" s="1"/>
    </row>
    <row r="465" spans="4:4" ht="13.5" customHeight="1" x14ac:dyDescent="0.25">
      <c r="D465" s="1"/>
    </row>
    <row r="466" spans="4:4" ht="13.5" customHeight="1" x14ac:dyDescent="0.25">
      <c r="D466" s="1"/>
    </row>
    <row r="467" spans="4:4" ht="13.5" customHeight="1" x14ac:dyDescent="0.25">
      <c r="D467" s="1"/>
    </row>
    <row r="468" spans="4:4" ht="13.5" customHeight="1" x14ac:dyDescent="0.25">
      <c r="D468" s="1"/>
    </row>
    <row r="469" spans="4:4" ht="13.5" customHeight="1" x14ac:dyDescent="0.25">
      <c r="D469" s="1"/>
    </row>
    <row r="470" spans="4:4" ht="13.5" customHeight="1" x14ac:dyDescent="0.25">
      <c r="D470" s="1"/>
    </row>
    <row r="471" spans="4:4" ht="13.5" customHeight="1" x14ac:dyDescent="0.25">
      <c r="D471" s="1"/>
    </row>
    <row r="472" spans="4:4" ht="13.5" customHeight="1" x14ac:dyDescent="0.25">
      <c r="D472" s="1"/>
    </row>
    <row r="473" spans="4:4" ht="13.5" customHeight="1" x14ac:dyDescent="0.25">
      <c r="D473" s="1"/>
    </row>
    <row r="474" spans="4:4" ht="13.5" customHeight="1" x14ac:dyDescent="0.25">
      <c r="D474" s="1"/>
    </row>
    <row r="475" spans="4:4" ht="13.5" customHeight="1" x14ac:dyDescent="0.25">
      <c r="D475" s="1"/>
    </row>
    <row r="476" spans="4:4" ht="13.5" customHeight="1" x14ac:dyDescent="0.25">
      <c r="D476" s="1"/>
    </row>
    <row r="477" spans="4:4" ht="13.5" customHeight="1" x14ac:dyDescent="0.25">
      <c r="D477" s="1"/>
    </row>
    <row r="478" spans="4:4" ht="13.5" customHeight="1" x14ac:dyDescent="0.25">
      <c r="D478" s="1"/>
    </row>
    <row r="479" spans="4:4" ht="13.5" customHeight="1" x14ac:dyDescent="0.25">
      <c r="D479" s="1"/>
    </row>
    <row r="480" spans="4:4" ht="13.5" customHeight="1" x14ac:dyDescent="0.25">
      <c r="D480" s="1"/>
    </row>
    <row r="481" spans="4:4" ht="13.5" customHeight="1" x14ac:dyDescent="0.25">
      <c r="D481" s="1"/>
    </row>
    <row r="482" spans="4:4" ht="13.5" customHeight="1" x14ac:dyDescent="0.25">
      <c r="D482" s="1"/>
    </row>
    <row r="483" spans="4:4" ht="13.5" customHeight="1" x14ac:dyDescent="0.25">
      <c r="D483" s="1"/>
    </row>
    <row r="484" spans="4:4" ht="13.5" customHeight="1" x14ac:dyDescent="0.25">
      <c r="D484" s="1"/>
    </row>
    <row r="485" spans="4:4" ht="13.5" customHeight="1" x14ac:dyDescent="0.25">
      <c r="D485" s="1"/>
    </row>
    <row r="486" spans="4:4" ht="13.5" customHeight="1" x14ac:dyDescent="0.25">
      <c r="D486" s="1"/>
    </row>
    <row r="487" spans="4:4" ht="13.5" customHeight="1" x14ac:dyDescent="0.25">
      <c r="D487" s="1"/>
    </row>
    <row r="488" spans="4:4" ht="13.5" customHeight="1" x14ac:dyDescent="0.25">
      <c r="D488" s="1"/>
    </row>
    <row r="489" spans="4:4" ht="13.5" customHeight="1" x14ac:dyDescent="0.25">
      <c r="D489" s="1"/>
    </row>
    <row r="490" spans="4:4" ht="13.5" customHeight="1" x14ac:dyDescent="0.25">
      <c r="D490" s="1"/>
    </row>
    <row r="491" spans="4:4" ht="13.5" customHeight="1" x14ac:dyDescent="0.25">
      <c r="D491" s="1"/>
    </row>
    <row r="492" spans="4:4" ht="13.5" customHeight="1" x14ac:dyDescent="0.25">
      <c r="D492" s="1"/>
    </row>
    <row r="493" spans="4:4" ht="13.5" customHeight="1" x14ac:dyDescent="0.25">
      <c r="D493" s="1"/>
    </row>
    <row r="494" spans="4:4" ht="13.5" customHeight="1" x14ac:dyDescent="0.25">
      <c r="D494" s="1"/>
    </row>
    <row r="495" spans="4:4" ht="13.5" customHeight="1" x14ac:dyDescent="0.25">
      <c r="D495" s="1"/>
    </row>
    <row r="496" spans="4:4" ht="13.5" customHeight="1" x14ac:dyDescent="0.25">
      <c r="D496" s="1"/>
    </row>
    <row r="497" spans="4:4" ht="13.5" customHeight="1" x14ac:dyDescent="0.25">
      <c r="D497" s="1"/>
    </row>
    <row r="498" spans="4:4" ht="13.5" customHeight="1" x14ac:dyDescent="0.25">
      <c r="D498" s="1"/>
    </row>
    <row r="499" spans="4:4" ht="13.5" customHeight="1" x14ac:dyDescent="0.25">
      <c r="D499" s="1"/>
    </row>
    <row r="500" spans="4:4" ht="13.5" customHeight="1" x14ac:dyDescent="0.25">
      <c r="D500" s="1"/>
    </row>
    <row r="501" spans="4:4" ht="13.5" customHeight="1" x14ac:dyDescent="0.25">
      <c r="D501" s="1"/>
    </row>
    <row r="502" spans="4:4" ht="13.5" customHeight="1" x14ac:dyDescent="0.25">
      <c r="D502" s="1"/>
    </row>
    <row r="503" spans="4:4" ht="13.5" customHeight="1" x14ac:dyDescent="0.25">
      <c r="D503" s="1"/>
    </row>
    <row r="504" spans="4:4" ht="13.5" customHeight="1" x14ac:dyDescent="0.25">
      <c r="D504" s="1"/>
    </row>
    <row r="505" spans="4:4" ht="13.5" customHeight="1" x14ac:dyDescent="0.25">
      <c r="D505" s="1"/>
    </row>
    <row r="506" spans="4:4" ht="13.5" customHeight="1" x14ac:dyDescent="0.25">
      <c r="D506" s="1"/>
    </row>
    <row r="507" spans="4:4" ht="13.5" customHeight="1" x14ac:dyDescent="0.25">
      <c r="D507" s="1"/>
    </row>
    <row r="508" spans="4:4" ht="13.5" customHeight="1" x14ac:dyDescent="0.25">
      <c r="D508" s="1"/>
    </row>
    <row r="509" spans="4:4" ht="13.5" customHeight="1" x14ac:dyDescent="0.25">
      <c r="D509" s="1"/>
    </row>
    <row r="510" spans="4:4" ht="13.5" customHeight="1" x14ac:dyDescent="0.25">
      <c r="D510" s="1"/>
    </row>
    <row r="511" spans="4:4" ht="13.5" customHeight="1" x14ac:dyDescent="0.25">
      <c r="D511" s="1"/>
    </row>
    <row r="512" spans="4:4" ht="13.5" customHeight="1" x14ac:dyDescent="0.25">
      <c r="D512" s="1"/>
    </row>
    <row r="513" spans="4:4" ht="13.5" customHeight="1" x14ac:dyDescent="0.25">
      <c r="D513" s="1"/>
    </row>
    <row r="514" spans="4:4" ht="13.5" customHeight="1" x14ac:dyDescent="0.25">
      <c r="D514" s="1"/>
    </row>
    <row r="515" spans="4:4" ht="13.5" customHeight="1" x14ac:dyDescent="0.25">
      <c r="D515" s="1"/>
    </row>
    <row r="516" spans="4:4" ht="13.5" customHeight="1" x14ac:dyDescent="0.25">
      <c r="D516" s="1"/>
    </row>
    <row r="517" spans="4:4" ht="13.5" customHeight="1" x14ac:dyDescent="0.25">
      <c r="D517" s="1"/>
    </row>
    <row r="518" spans="4:4" ht="13.5" customHeight="1" x14ac:dyDescent="0.25">
      <c r="D518" s="1"/>
    </row>
    <row r="519" spans="4:4" ht="13.5" customHeight="1" x14ac:dyDescent="0.25">
      <c r="D519" s="1"/>
    </row>
    <row r="520" spans="4:4" ht="13.5" customHeight="1" x14ac:dyDescent="0.25">
      <c r="D520" s="1"/>
    </row>
    <row r="521" spans="4:4" ht="13.5" customHeight="1" x14ac:dyDescent="0.25">
      <c r="D521" s="1"/>
    </row>
    <row r="522" spans="4:4" ht="13.5" customHeight="1" x14ac:dyDescent="0.25">
      <c r="D522" s="1"/>
    </row>
    <row r="523" spans="4:4" ht="13.5" customHeight="1" x14ac:dyDescent="0.25">
      <c r="D523" s="1"/>
    </row>
    <row r="524" spans="4:4" ht="13.5" customHeight="1" x14ac:dyDescent="0.25">
      <c r="D524" s="1"/>
    </row>
    <row r="525" spans="4:4" ht="13.5" customHeight="1" x14ac:dyDescent="0.25">
      <c r="D525" s="1"/>
    </row>
    <row r="526" spans="4:4" ht="13.5" customHeight="1" x14ac:dyDescent="0.25">
      <c r="D526" s="1"/>
    </row>
    <row r="527" spans="4:4" ht="13.5" customHeight="1" x14ac:dyDescent="0.25">
      <c r="D527" s="1"/>
    </row>
    <row r="528" spans="4:4" ht="13.5" customHeight="1" x14ac:dyDescent="0.25">
      <c r="D528" s="1"/>
    </row>
    <row r="529" spans="4:4" ht="13.5" customHeight="1" x14ac:dyDescent="0.25">
      <c r="D529" s="1"/>
    </row>
    <row r="530" spans="4:4" ht="13.5" customHeight="1" x14ac:dyDescent="0.25">
      <c r="D530" s="1"/>
    </row>
    <row r="531" spans="4:4" ht="13.5" customHeight="1" x14ac:dyDescent="0.25">
      <c r="D531" s="1"/>
    </row>
    <row r="532" spans="4:4" ht="13.5" customHeight="1" x14ac:dyDescent="0.25">
      <c r="D532" s="1"/>
    </row>
    <row r="533" spans="4:4" ht="13.5" customHeight="1" x14ac:dyDescent="0.25">
      <c r="D533" s="1"/>
    </row>
    <row r="534" spans="4:4" ht="13.5" customHeight="1" x14ac:dyDescent="0.25">
      <c r="D534" s="1"/>
    </row>
    <row r="535" spans="4:4" ht="13.5" customHeight="1" x14ac:dyDescent="0.25">
      <c r="D535" s="1"/>
    </row>
    <row r="536" spans="4:4" ht="13.5" customHeight="1" x14ac:dyDescent="0.25">
      <c r="D536" s="1"/>
    </row>
    <row r="537" spans="4:4" ht="13.5" customHeight="1" x14ac:dyDescent="0.25">
      <c r="D537" s="1"/>
    </row>
    <row r="538" spans="4:4" ht="13.5" customHeight="1" x14ac:dyDescent="0.25">
      <c r="D538" s="1"/>
    </row>
    <row r="539" spans="4:4" ht="13.5" customHeight="1" x14ac:dyDescent="0.25">
      <c r="D539" s="1"/>
    </row>
    <row r="540" spans="4:4" ht="13.5" customHeight="1" x14ac:dyDescent="0.25">
      <c r="D540" s="1"/>
    </row>
    <row r="541" spans="4:4" ht="13.5" customHeight="1" x14ac:dyDescent="0.25">
      <c r="D541" s="1"/>
    </row>
    <row r="542" spans="4:4" ht="13.5" customHeight="1" x14ac:dyDescent="0.25">
      <c r="D542" s="1"/>
    </row>
    <row r="543" spans="4:4" ht="13.5" customHeight="1" x14ac:dyDescent="0.25">
      <c r="D543" s="1"/>
    </row>
    <row r="544" spans="4:4" ht="13.5" customHeight="1" x14ac:dyDescent="0.25">
      <c r="D544" s="1"/>
    </row>
    <row r="545" spans="4:4" ht="13.5" customHeight="1" x14ac:dyDescent="0.25">
      <c r="D545" s="1"/>
    </row>
    <row r="546" spans="4:4" ht="13.5" customHeight="1" x14ac:dyDescent="0.25">
      <c r="D546" s="1"/>
    </row>
    <row r="547" spans="4:4" ht="13.5" customHeight="1" x14ac:dyDescent="0.25">
      <c r="D547" s="1"/>
    </row>
    <row r="548" spans="4:4" ht="13.5" customHeight="1" x14ac:dyDescent="0.25">
      <c r="D548" s="1"/>
    </row>
    <row r="549" spans="4:4" ht="13.5" customHeight="1" x14ac:dyDescent="0.25">
      <c r="D549" s="1"/>
    </row>
    <row r="550" spans="4:4" ht="13.5" customHeight="1" x14ac:dyDescent="0.25">
      <c r="D550" s="1"/>
    </row>
    <row r="551" spans="4:4" ht="13.5" customHeight="1" x14ac:dyDescent="0.25">
      <c r="D551" s="1"/>
    </row>
    <row r="552" spans="4:4" ht="13.5" customHeight="1" x14ac:dyDescent="0.25">
      <c r="D552" s="1"/>
    </row>
    <row r="553" spans="4:4" ht="13.5" customHeight="1" x14ac:dyDescent="0.25">
      <c r="D553" s="1"/>
    </row>
    <row r="554" spans="4:4" ht="13.5" customHeight="1" x14ac:dyDescent="0.25">
      <c r="D554" s="1"/>
    </row>
    <row r="555" spans="4:4" ht="13.5" customHeight="1" x14ac:dyDescent="0.25">
      <c r="D555" s="1"/>
    </row>
    <row r="556" spans="4:4" ht="13.5" customHeight="1" x14ac:dyDescent="0.25">
      <c r="D556" s="1"/>
    </row>
    <row r="557" spans="4:4" ht="13.5" customHeight="1" x14ac:dyDescent="0.25">
      <c r="D557" s="1"/>
    </row>
    <row r="558" spans="4:4" ht="13.5" customHeight="1" x14ac:dyDescent="0.25">
      <c r="D558" s="1"/>
    </row>
    <row r="559" spans="4:4" ht="13.5" customHeight="1" x14ac:dyDescent="0.25">
      <c r="D559" s="1"/>
    </row>
    <row r="560" spans="4:4" ht="13.5" customHeight="1" x14ac:dyDescent="0.25">
      <c r="D560" s="1"/>
    </row>
    <row r="561" spans="4:4" ht="13.5" customHeight="1" x14ac:dyDescent="0.25">
      <c r="D561" s="1"/>
    </row>
    <row r="562" spans="4:4" ht="13.5" customHeight="1" x14ac:dyDescent="0.25">
      <c r="D562" s="1"/>
    </row>
    <row r="563" spans="4:4" ht="13.5" customHeight="1" x14ac:dyDescent="0.25">
      <c r="D563" s="1"/>
    </row>
    <row r="564" spans="4:4" ht="13.5" customHeight="1" x14ac:dyDescent="0.25">
      <c r="D564" s="1"/>
    </row>
    <row r="565" spans="4:4" ht="13.5" customHeight="1" x14ac:dyDescent="0.25">
      <c r="D565" s="1"/>
    </row>
    <row r="566" spans="4:4" ht="13.5" customHeight="1" x14ac:dyDescent="0.25">
      <c r="D566" s="1"/>
    </row>
    <row r="567" spans="4:4" ht="13.5" customHeight="1" x14ac:dyDescent="0.25">
      <c r="D567" s="1"/>
    </row>
    <row r="568" spans="4:4" ht="13.5" customHeight="1" x14ac:dyDescent="0.25">
      <c r="D568" s="1"/>
    </row>
    <row r="569" spans="4:4" ht="13.5" customHeight="1" x14ac:dyDescent="0.25">
      <c r="D569" s="1"/>
    </row>
    <row r="570" spans="4:4" ht="13.5" customHeight="1" x14ac:dyDescent="0.25">
      <c r="D570" s="1"/>
    </row>
    <row r="571" spans="4:4" ht="13.5" customHeight="1" x14ac:dyDescent="0.25">
      <c r="D571" s="1"/>
    </row>
    <row r="572" spans="4:4" ht="13.5" customHeight="1" x14ac:dyDescent="0.25">
      <c r="D572" s="1"/>
    </row>
    <row r="573" spans="4:4" ht="13.5" customHeight="1" x14ac:dyDescent="0.25">
      <c r="D573" s="1"/>
    </row>
    <row r="574" spans="4:4" ht="13.5" customHeight="1" x14ac:dyDescent="0.25">
      <c r="D574" s="1"/>
    </row>
    <row r="575" spans="4:4" ht="13.5" customHeight="1" x14ac:dyDescent="0.25">
      <c r="D575" s="1"/>
    </row>
    <row r="576" spans="4:4" ht="13.5" customHeight="1" x14ac:dyDescent="0.25">
      <c r="D576" s="1"/>
    </row>
    <row r="577" spans="4:4" ht="13.5" customHeight="1" x14ac:dyDescent="0.25">
      <c r="D577" s="1"/>
    </row>
    <row r="578" spans="4:4" ht="13.5" customHeight="1" x14ac:dyDescent="0.25">
      <c r="D578" s="1"/>
    </row>
    <row r="579" spans="4:4" ht="13.5" customHeight="1" x14ac:dyDescent="0.25">
      <c r="D579" s="1"/>
    </row>
    <row r="580" spans="4:4" ht="13.5" customHeight="1" x14ac:dyDescent="0.25">
      <c r="D580" s="1"/>
    </row>
    <row r="581" spans="4:4" ht="13.5" customHeight="1" x14ac:dyDescent="0.25">
      <c r="D581" s="1"/>
    </row>
    <row r="582" spans="4:4" ht="13.5" customHeight="1" x14ac:dyDescent="0.25">
      <c r="D582" s="1"/>
    </row>
    <row r="583" spans="4:4" ht="13.5" customHeight="1" x14ac:dyDescent="0.25">
      <c r="D583" s="1"/>
    </row>
    <row r="584" spans="4:4" ht="13.5" customHeight="1" x14ac:dyDescent="0.25">
      <c r="D584" s="1"/>
    </row>
    <row r="585" spans="4:4" ht="13.5" customHeight="1" x14ac:dyDescent="0.25">
      <c r="D585" s="1"/>
    </row>
    <row r="586" spans="4:4" ht="13.5" customHeight="1" x14ac:dyDescent="0.25">
      <c r="D586" s="1"/>
    </row>
    <row r="587" spans="4:4" ht="13.5" customHeight="1" x14ac:dyDescent="0.25">
      <c r="D587" s="1"/>
    </row>
    <row r="588" spans="4:4" ht="13.5" customHeight="1" x14ac:dyDescent="0.25">
      <c r="D588" s="1"/>
    </row>
    <row r="589" spans="4:4" ht="13.5" customHeight="1" x14ac:dyDescent="0.25">
      <c r="D589" s="1"/>
    </row>
    <row r="590" spans="4:4" ht="13.5" customHeight="1" x14ac:dyDescent="0.25">
      <c r="D590" s="1"/>
    </row>
    <row r="591" spans="4:4" ht="13.5" customHeight="1" x14ac:dyDescent="0.25">
      <c r="D591" s="1"/>
    </row>
    <row r="592" spans="4:4" ht="13.5" customHeight="1" x14ac:dyDescent="0.25">
      <c r="D592" s="1"/>
    </row>
    <row r="593" spans="4:4" ht="13.5" customHeight="1" x14ac:dyDescent="0.25">
      <c r="D593" s="1"/>
    </row>
    <row r="594" spans="4:4" ht="13.5" customHeight="1" x14ac:dyDescent="0.25">
      <c r="D594" s="1"/>
    </row>
    <row r="595" spans="4:4" ht="13.5" customHeight="1" x14ac:dyDescent="0.25">
      <c r="D595" s="1"/>
    </row>
    <row r="596" spans="4:4" ht="13.5" customHeight="1" x14ac:dyDescent="0.25">
      <c r="D596" s="1"/>
    </row>
    <row r="597" spans="4:4" ht="13.5" customHeight="1" x14ac:dyDescent="0.25">
      <c r="D597" s="1"/>
    </row>
    <row r="598" spans="4:4" ht="13.5" customHeight="1" x14ac:dyDescent="0.25">
      <c r="D598" s="1"/>
    </row>
    <row r="599" spans="4:4" ht="13.5" customHeight="1" x14ac:dyDescent="0.25">
      <c r="D599" s="1"/>
    </row>
    <row r="600" spans="4:4" ht="13.5" customHeight="1" x14ac:dyDescent="0.25">
      <c r="D600" s="1"/>
    </row>
    <row r="601" spans="4:4" ht="13.5" customHeight="1" x14ac:dyDescent="0.25">
      <c r="D601" s="1"/>
    </row>
    <row r="602" spans="4:4" ht="13.5" customHeight="1" x14ac:dyDescent="0.25">
      <c r="D602" s="1"/>
    </row>
    <row r="603" spans="4:4" ht="13.5" customHeight="1" x14ac:dyDescent="0.25">
      <c r="D603" s="1"/>
    </row>
    <row r="604" spans="4:4" ht="13.5" customHeight="1" x14ac:dyDescent="0.25">
      <c r="D604" s="1"/>
    </row>
    <row r="605" spans="4:4" ht="13.5" customHeight="1" x14ac:dyDescent="0.25">
      <c r="D605" s="1"/>
    </row>
    <row r="606" spans="4:4" ht="13.5" customHeight="1" x14ac:dyDescent="0.25">
      <c r="D606" s="1"/>
    </row>
    <row r="607" spans="4:4" ht="13.5" customHeight="1" x14ac:dyDescent="0.25">
      <c r="D607" s="1"/>
    </row>
    <row r="608" spans="4:4" ht="13.5" customHeight="1" x14ac:dyDescent="0.25">
      <c r="D608" s="1"/>
    </row>
    <row r="609" spans="4:4" ht="13.5" customHeight="1" x14ac:dyDescent="0.25">
      <c r="D609" s="1"/>
    </row>
    <row r="610" spans="4:4" ht="13.5" customHeight="1" x14ac:dyDescent="0.25">
      <c r="D610" s="1"/>
    </row>
    <row r="611" spans="4:4" ht="13.5" customHeight="1" x14ac:dyDescent="0.25">
      <c r="D611" s="1"/>
    </row>
    <row r="612" spans="4:4" ht="13.5" customHeight="1" x14ac:dyDescent="0.25">
      <c r="D612" s="1"/>
    </row>
    <row r="613" spans="4:4" ht="13.5" customHeight="1" x14ac:dyDescent="0.25">
      <c r="D613" s="1"/>
    </row>
    <row r="614" spans="4:4" ht="13.5" customHeight="1" x14ac:dyDescent="0.25">
      <c r="D614" s="1"/>
    </row>
    <row r="615" spans="4:4" ht="13.5" customHeight="1" x14ac:dyDescent="0.25">
      <c r="D615" s="1"/>
    </row>
    <row r="616" spans="4:4" ht="13.5" customHeight="1" x14ac:dyDescent="0.25">
      <c r="D616" s="1"/>
    </row>
    <row r="617" spans="4:4" ht="13.5" customHeight="1" x14ac:dyDescent="0.25">
      <c r="D617" s="1"/>
    </row>
    <row r="618" spans="4:4" ht="13.5" customHeight="1" x14ac:dyDescent="0.25">
      <c r="D618" s="1"/>
    </row>
    <row r="619" spans="4:4" ht="13.5" customHeight="1" x14ac:dyDescent="0.25">
      <c r="D619" s="1"/>
    </row>
    <row r="620" spans="4:4" ht="13.5" customHeight="1" x14ac:dyDescent="0.25">
      <c r="D620" s="1"/>
    </row>
    <row r="621" spans="4:4" ht="13.5" customHeight="1" x14ac:dyDescent="0.25">
      <c r="D621" s="1"/>
    </row>
    <row r="622" spans="4:4" ht="13.5" customHeight="1" x14ac:dyDescent="0.25">
      <c r="D622" s="1"/>
    </row>
    <row r="623" spans="4:4" ht="13.5" customHeight="1" x14ac:dyDescent="0.25">
      <c r="D623" s="1"/>
    </row>
    <row r="624" spans="4:4" ht="13.5" customHeight="1" x14ac:dyDescent="0.25">
      <c r="D624" s="1"/>
    </row>
    <row r="625" spans="4:4" ht="13.5" customHeight="1" x14ac:dyDescent="0.25">
      <c r="D625" s="1"/>
    </row>
    <row r="626" spans="4:4" ht="13.5" customHeight="1" x14ac:dyDescent="0.25">
      <c r="D626" s="1"/>
    </row>
    <row r="627" spans="4:4" ht="13.5" customHeight="1" x14ac:dyDescent="0.25">
      <c r="D627" s="1"/>
    </row>
    <row r="628" spans="4:4" ht="13.5" customHeight="1" x14ac:dyDescent="0.25">
      <c r="D628" s="1"/>
    </row>
    <row r="629" spans="4:4" ht="13.5" customHeight="1" x14ac:dyDescent="0.25">
      <c r="D629" s="1"/>
    </row>
    <row r="630" spans="4:4" ht="13.5" customHeight="1" x14ac:dyDescent="0.25">
      <c r="D630" s="1"/>
    </row>
    <row r="631" spans="4:4" ht="13.5" customHeight="1" x14ac:dyDescent="0.25">
      <c r="D631" s="1"/>
    </row>
    <row r="632" spans="4:4" ht="13.5" customHeight="1" x14ac:dyDescent="0.25">
      <c r="D632" s="1"/>
    </row>
    <row r="633" spans="4:4" ht="13.5" customHeight="1" x14ac:dyDescent="0.25">
      <c r="D633" s="1"/>
    </row>
    <row r="634" spans="4:4" ht="13.5" customHeight="1" x14ac:dyDescent="0.25">
      <c r="D634" s="1"/>
    </row>
    <row r="635" spans="4:4" ht="13.5" customHeight="1" x14ac:dyDescent="0.25">
      <c r="D635" s="1"/>
    </row>
    <row r="636" spans="4:4" ht="13.5" customHeight="1" x14ac:dyDescent="0.25">
      <c r="D636" s="1"/>
    </row>
    <row r="637" spans="4:4" ht="13.5" customHeight="1" x14ac:dyDescent="0.25">
      <c r="D637" s="1"/>
    </row>
    <row r="638" spans="4:4" ht="13.5" customHeight="1" x14ac:dyDescent="0.25">
      <c r="D638" s="1"/>
    </row>
    <row r="639" spans="4:4" ht="13.5" customHeight="1" x14ac:dyDescent="0.25">
      <c r="D639" s="1"/>
    </row>
    <row r="640" spans="4:4" ht="13.5" customHeight="1" x14ac:dyDescent="0.25">
      <c r="D640" s="1"/>
    </row>
    <row r="641" spans="4:4" ht="13.5" customHeight="1" x14ac:dyDescent="0.25">
      <c r="D641" s="1"/>
    </row>
    <row r="642" spans="4:4" ht="13.5" customHeight="1" x14ac:dyDescent="0.25">
      <c r="D642" s="1"/>
    </row>
    <row r="643" spans="4:4" ht="13.5" customHeight="1" x14ac:dyDescent="0.25">
      <c r="D643" s="1"/>
    </row>
    <row r="644" spans="4:4" ht="13.5" customHeight="1" x14ac:dyDescent="0.25">
      <c r="D644" s="1"/>
    </row>
    <row r="645" spans="4:4" ht="13.5" customHeight="1" x14ac:dyDescent="0.25">
      <c r="D645" s="1"/>
    </row>
    <row r="646" spans="4:4" ht="13.5" customHeight="1" x14ac:dyDescent="0.25">
      <c r="D646" s="1"/>
    </row>
    <row r="647" spans="4:4" ht="13.5" customHeight="1" x14ac:dyDescent="0.25">
      <c r="D647" s="1"/>
    </row>
    <row r="648" spans="4:4" ht="13.5" customHeight="1" x14ac:dyDescent="0.25">
      <c r="D648" s="1"/>
    </row>
    <row r="649" spans="4:4" ht="13.5" customHeight="1" x14ac:dyDescent="0.25">
      <c r="D649" s="1"/>
    </row>
    <row r="650" spans="4:4" ht="13.5" customHeight="1" x14ac:dyDescent="0.25">
      <c r="D650" s="1"/>
    </row>
    <row r="651" spans="4:4" ht="13.5" customHeight="1" x14ac:dyDescent="0.25">
      <c r="D651" s="1"/>
    </row>
    <row r="652" spans="4:4" ht="13.5" customHeight="1" x14ac:dyDescent="0.25">
      <c r="D652" s="1"/>
    </row>
    <row r="653" spans="4:4" ht="13.5" customHeight="1" x14ac:dyDescent="0.25">
      <c r="D653" s="1"/>
    </row>
    <row r="654" spans="4:4" ht="13.5" customHeight="1" x14ac:dyDescent="0.25">
      <c r="D654" s="1"/>
    </row>
    <row r="655" spans="4:4" ht="13.5" customHeight="1" x14ac:dyDescent="0.25">
      <c r="D655" s="1"/>
    </row>
    <row r="656" spans="4:4" ht="13.5" customHeight="1" x14ac:dyDescent="0.25">
      <c r="D656" s="1"/>
    </row>
    <row r="657" spans="4:4" ht="13.5" customHeight="1" x14ac:dyDescent="0.25">
      <c r="D657" s="1"/>
    </row>
    <row r="658" spans="4:4" ht="13.5" customHeight="1" x14ac:dyDescent="0.25">
      <c r="D658" s="1"/>
    </row>
    <row r="659" spans="4:4" ht="13.5" customHeight="1" x14ac:dyDescent="0.25">
      <c r="D659" s="1"/>
    </row>
    <row r="660" spans="4:4" ht="13.5" customHeight="1" x14ac:dyDescent="0.25">
      <c r="D660" s="1"/>
    </row>
    <row r="661" spans="4:4" ht="13.5" customHeight="1" x14ac:dyDescent="0.25">
      <c r="D661" s="1"/>
    </row>
    <row r="662" spans="4:4" ht="13.5" customHeight="1" x14ac:dyDescent="0.25">
      <c r="D662" s="1"/>
    </row>
    <row r="663" spans="4:4" ht="13.5" customHeight="1" x14ac:dyDescent="0.25">
      <c r="D663" s="1"/>
    </row>
    <row r="664" spans="4:4" ht="13.5" customHeight="1" x14ac:dyDescent="0.25">
      <c r="D664" s="1"/>
    </row>
    <row r="665" spans="4:4" ht="13.5" customHeight="1" x14ac:dyDescent="0.25">
      <c r="D665" s="1"/>
    </row>
    <row r="666" spans="4:4" ht="13.5" customHeight="1" x14ac:dyDescent="0.25">
      <c r="D666" s="1"/>
    </row>
    <row r="667" spans="4:4" ht="13.5" customHeight="1" x14ac:dyDescent="0.25">
      <c r="D667" s="1"/>
    </row>
    <row r="668" spans="4:4" ht="13.5" customHeight="1" x14ac:dyDescent="0.25">
      <c r="D668" s="1"/>
    </row>
    <row r="669" spans="4:4" ht="13.5" customHeight="1" x14ac:dyDescent="0.25">
      <c r="D669" s="1"/>
    </row>
    <row r="670" spans="4:4" ht="13.5" customHeight="1" x14ac:dyDescent="0.25">
      <c r="D670" s="1"/>
    </row>
    <row r="671" spans="4:4" ht="13.5" customHeight="1" x14ac:dyDescent="0.25">
      <c r="D671" s="1"/>
    </row>
    <row r="672" spans="4:4" ht="13.5" customHeight="1" x14ac:dyDescent="0.25">
      <c r="D672" s="1"/>
    </row>
    <row r="673" spans="4:4" ht="13.5" customHeight="1" x14ac:dyDescent="0.25">
      <c r="D673" s="1"/>
    </row>
    <row r="674" spans="4:4" ht="13.5" customHeight="1" x14ac:dyDescent="0.25">
      <c r="D674" s="1"/>
    </row>
    <row r="675" spans="4:4" ht="13.5" customHeight="1" x14ac:dyDescent="0.25">
      <c r="D675" s="1"/>
    </row>
    <row r="676" spans="4:4" ht="13.5" customHeight="1" x14ac:dyDescent="0.25">
      <c r="D676" s="1"/>
    </row>
    <row r="677" spans="4:4" ht="13.5" customHeight="1" x14ac:dyDescent="0.25">
      <c r="D677" s="1"/>
    </row>
    <row r="678" spans="4:4" ht="13.5" customHeight="1" x14ac:dyDescent="0.25">
      <c r="D678" s="1"/>
    </row>
    <row r="679" spans="4:4" ht="13.5" customHeight="1" x14ac:dyDescent="0.25">
      <c r="D679" s="1"/>
    </row>
    <row r="680" spans="4:4" ht="13.5" customHeight="1" x14ac:dyDescent="0.25">
      <c r="D680" s="1"/>
    </row>
    <row r="681" spans="4:4" ht="13.5" customHeight="1" x14ac:dyDescent="0.25">
      <c r="D681" s="1"/>
    </row>
    <row r="682" spans="4:4" ht="13.5" customHeight="1" x14ac:dyDescent="0.25">
      <c r="D682" s="1"/>
    </row>
    <row r="683" spans="4:4" ht="13.5" customHeight="1" x14ac:dyDescent="0.25">
      <c r="D683" s="1"/>
    </row>
    <row r="684" spans="4:4" ht="13.5" customHeight="1" x14ac:dyDescent="0.25">
      <c r="D684" s="1"/>
    </row>
    <row r="685" spans="4:4" ht="13.5" customHeight="1" x14ac:dyDescent="0.25">
      <c r="D685" s="1"/>
    </row>
    <row r="686" spans="4:4" ht="13.5" customHeight="1" x14ac:dyDescent="0.25">
      <c r="D686" s="1"/>
    </row>
    <row r="687" spans="4:4" ht="13.5" customHeight="1" x14ac:dyDescent="0.25">
      <c r="D687" s="1"/>
    </row>
    <row r="688" spans="4:4" ht="13.5" customHeight="1" x14ac:dyDescent="0.25">
      <c r="D688" s="1"/>
    </row>
    <row r="689" spans="4:4" ht="13.5" customHeight="1" x14ac:dyDescent="0.25">
      <c r="D689" s="1"/>
    </row>
    <row r="690" spans="4:4" ht="13.5" customHeight="1" x14ac:dyDescent="0.25">
      <c r="D690" s="1"/>
    </row>
    <row r="691" spans="4:4" ht="13.5" customHeight="1" x14ac:dyDescent="0.25">
      <c r="D691" s="1"/>
    </row>
    <row r="692" spans="4:4" ht="13.5" customHeight="1" x14ac:dyDescent="0.25">
      <c r="D692" s="1"/>
    </row>
    <row r="693" spans="4:4" ht="13.5" customHeight="1" x14ac:dyDescent="0.25">
      <c r="D693" s="1"/>
    </row>
    <row r="694" spans="4:4" ht="13.5" customHeight="1" x14ac:dyDescent="0.25">
      <c r="D694" s="1"/>
    </row>
    <row r="695" spans="4:4" ht="13.5" customHeight="1" x14ac:dyDescent="0.25">
      <c r="D695" s="1"/>
    </row>
    <row r="696" spans="4:4" ht="13.5" customHeight="1" x14ac:dyDescent="0.25">
      <c r="D696" s="1"/>
    </row>
    <row r="697" spans="4:4" ht="13.5" customHeight="1" x14ac:dyDescent="0.25">
      <c r="D697" s="1"/>
    </row>
    <row r="698" spans="4:4" ht="13.5" customHeight="1" x14ac:dyDescent="0.25">
      <c r="D698" s="1"/>
    </row>
    <row r="699" spans="4:4" ht="13.5" customHeight="1" x14ac:dyDescent="0.25">
      <c r="D699" s="1"/>
    </row>
    <row r="700" spans="4:4" ht="13.5" customHeight="1" x14ac:dyDescent="0.25">
      <c r="D700" s="1"/>
    </row>
    <row r="701" spans="4:4" ht="13.5" customHeight="1" x14ac:dyDescent="0.25">
      <c r="D701" s="1"/>
    </row>
    <row r="702" spans="4:4" ht="13.5" customHeight="1" x14ac:dyDescent="0.25">
      <c r="D702" s="1"/>
    </row>
    <row r="703" spans="4:4" ht="13.5" customHeight="1" x14ac:dyDescent="0.25">
      <c r="D703" s="1"/>
    </row>
    <row r="704" spans="4:4" ht="13.5" customHeight="1" x14ac:dyDescent="0.25">
      <c r="D704" s="1"/>
    </row>
    <row r="705" spans="4:4" ht="13.5" customHeight="1" x14ac:dyDescent="0.25">
      <c r="D705" s="1"/>
    </row>
    <row r="706" spans="4:4" ht="13.5" customHeight="1" x14ac:dyDescent="0.25">
      <c r="D706" s="1"/>
    </row>
    <row r="707" spans="4:4" ht="13.5" customHeight="1" x14ac:dyDescent="0.25">
      <c r="D707" s="1"/>
    </row>
    <row r="708" spans="4:4" ht="13.5" customHeight="1" x14ac:dyDescent="0.25">
      <c r="D708" s="1"/>
    </row>
    <row r="709" spans="4:4" ht="13.5" customHeight="1" x14ac:dyDescent="0.25">
      <c r="D709" s="1"/>
    </row>
    <row r="710" spans="4:4" ht="13.5" customHeight="1" x14ac:dyDescent="0.25">
      <c r="D710" s="1"/>
    </row>
    <row r="711" spans="4:4" ht="13.5" customHeight="1" x14ac:dyDescent="0.25">
      <c r="D711" s="1"/>
    </row>
    <row r="712" spans="4:4" ht="13.5" customHeight="1" x14ac:dyDescent="0.25">
      <c r="D712" s="1"/>
    </row>
    <row r="713" spans="4:4" ht="13.5" customHeight="1" x14ac:dyDescent="0.25">
      <c r="D713" s="1"/>
    </row>
    <row r="714" spans="4:4" ht="13.5" customHeight="1" x14ac:dyDescent="0.25">
      <c r="D714" s="1"/>
    </row>
    <row r="715" spans="4:4" ht="13.5" customHeight="1" x14ac:dyDescent="0.25">
      <c r="D715" s="1"/>
    </row>
    <row r="716" spans="4:4" ht="13.5" customHeight="1" x14ac:dyDescent="0.25">
      <c r="D716" s="1"/>
    </row>
    <row r="717" spans="4:4" ht="13.5" customHeight="1" x14ac:dyDescent="0.25">
      <c r="D717" s="1"/>
    </row>
    <row r="718" spans="4:4" ht="13.5" customHeight="1" x14ac:dyDescent="0.25">
      <c r="D718" s="1"/>
    </row>
    <row r="719" spans="4:4" ht="13.5" customHeight="1" x14ac:dyDescent="0.25">
      <c r="D719" s="1"/>
    </row>
    <row r="720" spans="4:4" ht="13.5" customHeight="1" x14ac:dyDescent="0.25">
      <c r="D720" s="1"/>
    </row>
    <row r="721" spans="4:4" ht="13.5" customHeight="1" x14ac:dyDescent="0.25">
      <c r="D721" s="1"/>
    </row>
    <row r="722" spans="4:4" ht="13.5" customHeight="1" x14ac:dyDescent="0.25">
      <c r="D722" s="1"/>
    </row>
    <row r="723" spans="4:4" ht="13.5" customHeight="1" x14ac:dyDescent="0.25">
      <c r="D723" s="1"/>
    </row>
    <row r="724" spans="4:4" ht="13.5" customHeight="1" x14ac:dyDescent="0.25">
      <c r="D724" s="1"/>
    </row>
    <row r="725" spans="4:4" ht="13.5" customHeight="1" x14ac:dyDescent="0.25">
      <c r="D725" s="1"/>
    </row>
    <row r="726" spans="4:4" ht="13.5" customHeight="1" x14ac:dyDescent="0.25">
      <c r="D726" s="1"/>
    </row>
    <row r="727" spans="4:4" ht="13.5" customHeight="1" x14ac:dyDescent="0.25">
      <c r="D727" s="1"/>
    </row>
    <row r="728" spans="4:4" ht="13.5" customHeight="1" x14ac:dyDescent="0.25">
      <c r="D728" s="1"/>
    </row>
    <row r="729" spans="4:4" ht="13.5" customHeight="1" x14ac:dyDescent="0.25">
      <c r="D729" s="1"/>
    </row>
    <row r="730" spans="4:4" ht="13.5" customHeight="1" x14ac:dyDescent="0.25">
      <c r="D730" s="1"/>
    </row>
    <row r="731" spans="4:4" ht="13.5" customHeight="1" x14ac:dyDescent="0.25">
      <c r="D731" s="1"/>
    </row>
    <row r="732" spans="4:4" ht="13.5" customHeight="1" x14ac:dyDescent="0.25">
      <c r="D732" s="1"/>
    </row>
    <row r="733" spans="4:4" ht="13.5" customHeight="1" x14ac:dyDescent="0.25">
      <c r="D733" s="1"/>
    </row>
    <row r="734" spans="4:4" ht="13.5" customHeight="1" x14ac:dyDescent="0.25">
      <c r="D734" s="1"/>
    </row>
    <row r="735" spans="4:4" ht="13.5" customHeight="1" x14ac:dyDescent="0.25">
      <c r="D735" s="1"/>
    </row>
    <row r="736" spans="4:4" ht="13.5" customHeight="1" x14ac:dyDescent="0.25">
      <c r="D736" s="1"/>
    </row>
    <row r="737" spans="4:4" ht="13.5" customHeight="1" x14ac:dyDescent="0.25">
      <c r="D737" s="1"/>
    </row>
    <row r="738" spans="4:4" ht="13.5" customHeight="1" x14ac:dyDescent="0.25">
      <c r="D738" s="1"/>
    </row>
    <row r="739" spans="4:4" ht="13.5" customHeight="1" x14ac:dyDescent="0.25">
      <c r="D739" s="1"/>
    </row>
    <row r="740" spans="4:4" ht="13.5" customHeight="1" x14ac:dyDescent="0.25">
      <c r="D740" s="1"/>
    </row>
    <row r="741" spans="4:4" ht="13.5" customHeight="1" x14ac:dyDescent="0.25">
      <c r="D741" s="1"/>
    </row>
    <row r="742" spans="4:4" ht="13.5" customHeight="1" x14ac:dyDescent="0.25">
      <c r="D742" s="1"/>
    </row>
    <row r="743" spans="4:4" ht="13.5" customHeight="1" x14ac:dyDescent="0.25">
      <c r="D743" s="1"/>
    </row>
    <row r="744" spans="4:4" ht="13.5" customHeight="1" x14ac:dyDescent="0.25">
      <c r="D744" s="1"/>
    </row>
    <row r="745" spans="4:4" ht="13.5" customHeight="1" x14ac:dyDescent="0.25">
      <c r="D745" s="1"/>
    </row>
    <row r="746" spans="4:4" ht="13.5" customHeight="1" x14ac:dyDescent="0.25">
      <c r="D746" s="1"/>
    </row>
    <row r="747" spans="4:4" ht="13.5" customHeight="1" x14ac:dyDescent="0.25">
      <c r="D747" s="1"/>
    </row>
    <row r="748" spans="4:4" ht="13.5" customHeight="1" x14ac:dyDescent="0.25">
      <c r="D748" s="1"/>
    </row>
    <row r="749" spans="4:4" ht="13.5" customHeight="1" x14ac:dyDescent="0.25">
      <c r="D749" s="1"/>
    </row>
    <row r="750" spans="4:4" ht="13.5" customHeight="1" x14ac:dyDescent="0.25">
      <c r="D750" s="1"/>
    </row>
    <row r="751" spans="4:4" ht="13.5" customHeight="1" x14ac:dyDescent="0.25">
      <c r="D751" s="1"/>
    </row>
    <row r="752" spans="4:4" ht="13.5" customHeight="1" x14ac:dyDescent="0.25">
      <c r="D752" s="1"/>
    </row>
    <row r="753" spans="4:4" ht="13.5" customHeight="1" x14ac:dyDescent="0.25">
      <c r="D753" s="1"/>
    </row>
    <row r="754" spans="4:4" ht="13.5" customHeight="1" x14ac:dyDescent="0.25">
      <c r="D754" s="1"/>
    </row>
    <row r="755" spans="4:4" ht="13.5" customHeight="1" x14ac:dyDescent="0.25">
      <c r="D755" s="1"/>
    </row>
    <row r="756" spans="4:4" ht="13.5" customHeight="1" x14ac:dyDescent="0.25">
      <c r="D756" s="1"/>
    </row>
    <row r="757" spans="4:4" ht="13.5" customHeight="1" x14ac:dyDescent="0.25">
      <c r="D757" s="1"/>
    </row>
    <row r="758" spans="4:4" ht="13.5" customHeight="1" x14ac:dyDescent="0.25">
      <c r="D758" s="1"/>
    </row>
    <row r="759" spans="4:4" ht="13.5" customHeight="1" x14ac:dyDescent="0.25">
      <c r="D759" s="1"/>
    </row>
    <row r="760" spans="4:4" ht="13.5" customHeight="1" x14ac:dyDescent="0.25">
      <c r="D760" s="1"/>
    </row>
    <row r="761" spans="4:4" ht="13.5" customHeight="1" x14ac:dyDescent="0.25">
      <c r="D761" s="1"/>
    </row>
    <row r="762" spans="4:4" ht="13.5" customHeight="1" x14ac:dyDescent="0.25">
      <c r="D762" s="1"/>
    </row>
    <row r="763" spans="4:4" ht="13.5" customHeight="1" x14ac:dyDescent="0.25">
      <c r="D763" s="1"/>
    </row>
    <row r="764" spans="4:4" ht="13.5" customHeight="1" x14ac:dyDescent="0.25">
      <c r="D764" s="1"/>
    </row>
    <row r="765" spans="4:4" ht="13.5" customHeight="1" x14ac:dyDescent="0.25">
      <c r="D765" s="1"/>
    </row>
    <row r="766" spans="4:4" ht="13.5" customHeight="1" x14ac:dyDescent="0.25">
      <c r="D766" s="1"/>
    </row>
    <row r="767" spans="4:4" ht="13.5" customHeight="1" x14ac:dyDescent="0.25">
      <c r="D767" s="1"/>
    </row>
    <row r="768" spans="4:4" ht="13.5" customHeight="1" x14ac:dyDescent="0.25">
      <c r="D768" s="1"/>
    </row>
    <row r="769" spans="4:4" ht="13.5" customHeight="1" x14ac:dyDescent="0.25">
      <c r="D769" s="1"/>
    </row>
    <row r="770" spans="4:4" ht="13.5" customHeight="1" x14ac:dyDescent="0.25">
      <c r="D770" s="1"/>
    </row>
    <row r="771" spans="4:4" ht="13.5" customHeight="1" x14ac:dyDescent="0.25">
      <c r="D771" s="1"/>
    </row>
    <row r="772" spans="4:4" ht="13.5" customHeight="1" x14ac:dyDescent="0.25">
      <c r="D772" s="1"/>
    </row>
    <row r="773" spans="4:4" ht="13.5" customHeight="1" x14ac:dyDescent="0.25">
      <c r="D773" s="1"/>
    </row>
    <row r="774" spans="4:4" ht="13.5" customHeight="1" x14ac:dyDescent="0.25">
      <c r="D774" s="1"/>
    </row>
    <row r="775" spans="4:4" ht="13.5" customHeight="1" x14ac:dyDescent="0.25">
      <c r="D775" s="1"/>
    </row>
    <row r="776" spans="4:4" ht="13.5" customHeight="1" x14ac:dyDescent="0.25">
      <c r="D776" s="1"/>
    </row>
    <row r="777" spans="4:4" ht="13.5" customHeight="1" x14ac:dyDescent="0.25">
      <c r="D777" s="1"/>
    </row>
    <row r="778" spans="4:4" ht="13.5" customHeight="1" x14ac:dyDescent="0.25">
      <c r="D778" s="1"/>
    </row>
    <row r="779" spans="4:4" ht="13.5" customHeight="1" x14ac:dyDescent="0.25">
      <c r="D779" s="1"/>
    </row>
    <row r="780" spans="4:4" ht="13.5" customHeight="1" x14ac:dyDescent="0.25">
      <c r="D780" s="1"/>
    </row>
    <row r="781" spans="4:4" ht="13.5" customHeight="1" x14ac:dyDescent="0.25">
      <c r="D781" s="1"/>
    </row>
    <row r="782" spans="4:4" ht="13.5" customHeight="1" x14ac:dyDescent="0.25">
      <c r="D782" s="1"/>
    </row>
    <row r="783" spans="4:4" ht="13.5" customHeight="1" x14ac:dyDescent="0.25">
      <c r="D783" s="1"/>
    </row>
    <row r="784" spans="4:4" ht="13.5" customHeight="1" x14ac:dyDescent="0.25">
      <c r="D784" s="1"/>
    </row>
    <row r="785" spans="4:4" ht="13.5" customHeight="1" x14ac:dyDescent="0.25">
      <c r="D785" s="1"/>
    </row>
    <row r="786" spans="4:4" ht="13.5" customHeight="1" x14ac:dyDescent="0.25">
      <c r="D786" s="1"/>
    </row>
    <row r="787" spans="4:4" ht="13.5" customHeight="1" x14ac:dyDescent="0.25">
      <c r="D787" s="1"/>
    </row>
    <row r="788" spans="4:4" ht="13.5" customHeight="1" x14ac:dyDescent="0.25">
      <c r="D788" s="1"/>
    </row>
    <row r="789" spans="4:4" ht="13.5" customHeight="1" x14ac:dyDescent="0.25">
      <c r="D789" s="1"/>
    </row>
    <row r="790" spans="4:4" ht="13.5" customHeight="1" x14ac:dyDescent="0.25">
      <c r="D790" s="1"/>
    </row>
    <row r="791" spans="4:4" ht="13.5" customHeight="1" x14ac:dyDescent="0.25">
      <c r="D791" s="1"/>
    </row>
    <row r="792" spans="4:4" ht="13.5" customHeight="1" x14ac:dyDescent="0.25">
      <c r="D792" s="1"/>
    </row>
    <row r="793" spans="4:4" ht="13.5" customHeight="1" x14ac:dyDescent="0.25">
      <c r="D793" s="1"/>
    </row>
    <row r="794" spans="4:4" ht="13.5" customHeight="1" x14ac:dyDescent="0.25">
      <c r="D794" s="1"/>
    </row>
    <row r="795" spans="4:4" ht="13.5" customHeight="1" x14ac:dyDescent="0.25">
      <c r="D795" s="1"/>
    </row>
    <row r="796" spans="4:4" ht="13.5" customHeight="1" x14ac:dyDescent="0.25">
      <c r="D796" s="1"/>
    </row>
    <row r="797" spans="4:4" ht="13.5" customHeight="1" x14ac:dyDescent="0.25">
      <c r="D797" s="1"/>
    </row>
    <row r="798" spans="4:4" ht="13.5" customHeight="1" x14ac:dyDescent="0.25">
      <c r="D798" s="1"/>
    </row>
    <row r="799" spans="4:4" ht="13.5" customHeight="1" x14ac:dyDescent="0.25">
      <c r="D799" s="1"/>
    </row>
    <row r="800" spans="4:4" ht="13.5" customHeight="1" x14ac:dyDescent="0.25">
      <c r="D800" s="1"/>
    </row>
    <row r="801" spans="4:4" ht="13.5" customHeight="1" x14ac:dyDescent="0.25">
      <c r="D801" s="1"/>
    </row>
    <row r="802" spans="4:4" ht="13.5" customHeight="1" x14ac:dyDescent="0.25">
      <c r="D802" s="1"/>
    </row>
    <row r="803" spans="4:4" ht="13.5" customHeight="1" x14ac:dyDescent="0.25">
      <c r="D803" s="1"/>
    </row>
    <row r="804" spans="4:4" ht="13.5" customHeight="1" x14ac:dyDescent="0.25">
      <c r="D804" s="1"/>
    </row>
    <row r="805" spans="4:4" ht="13.5" customHeight="1" x14ac:dyDescent="0.25">
      <c r="D805" s="1"/>
    </row>
    <row r="806" spans="4:4" ht="13.5" customHeight="1" x14ac:dyDescent="0.25">
      <c r="D806" s="1"/>
    </row>
    <row r="807" spans="4:4" ht="13.5" customHeight="1" x14ac:dyDescent="0.25">
      <c r="D807" s="1"/>
    </row>
    <row r="808" spans="4:4" ht="13.5" customHeight="1" x14ac:dyDescent="0.25">
      <c r="D808" s="1"/>
    </row>
    <row r="809" spans="4:4" ht="13.5" customHeight="1" x14ac:dyDescent="0.25">
      <c r="D809" s="1"/>
    </row>
    <row r="810" spans="4:4" ht="13.5" customHeight="1" x14ac:dyDescent="0.25">
      <c r="D810" s="1"/>
    </row>
    <row r="811" spans="4:4" ht="13.5" customHeight="1" x14ac:dyDescent="0.25">
      <c r="D811" s="1"/>
    </row>
    <row r="812" spans="4:4" ht="13.5" customHeight="1" x14ac:dyDescent="0.25">
      <c r="D812" s="1"/>
    </row>
    <row r="813" spans="4:4" ht="13.5" customHeight="1" x14ac:dyDescent="0.25">
      <c r="D813" s="1"/>
    </row>
    <row r="814" spans="4:4" ht="13.5" customHeight="1" x14ac:dyDescent="0.25">
      <c r="D814" s="1"/>
    </row>
    <row r="815" spans="4:4" ht="13.5" customHeight="1" x14ac:dyDescent="0.25">
      <c r="D815" s="1"/>
    </row>
    <row r="816" spans="4:4" ht="13.5" customHeight="1" x14ac:dyDescent="0.25">
      <c r="D816" s="1"/>
    </row>
    <row r="817" spans="4:4" ht="13.5" customHeight="1" x14ac:dyDescent="0.25">
      <c r="D817" s="1"/>
    </row>
    <row r="818" spans="4:4" ht="13.5" customHeight="1" x14ac:dyDescent="0.25">
      <c r="D818" s="1"/>
    </row>
    <row r="819" spans="4:4" ht="13.5" customHeight="1" x14ac:dyDescent="0.25">
      <c r="D819" s="1"/>
    </row>
    <row r="820" spans="4:4" ht="13.5" customHeight="1" x14ac:dyDescent="0.25">
      <c r="D820" s="1"/>
    </row>
    <row r="821" spans="4:4" ht="13.5" customHeight="1" x14ac:dyDescent="0.25">
      <c r="D821" s="1"/>
    </row>
    <row r="822" spans="4:4" ht="13.5" customHeight="1" x14ac:dyDescent="0.25">
      <c r="D822" s="1"/>
    </row>
    <row r="823" spans="4:4" ht="13.5" customHeight="1" x14ac:dyDescent="0.25">
      <c r="D823" s="1"/>
    </row>
    <row r="824" spans="4:4" ht="13.5" customHeight="1" x14ac:dyDescent="0.25">
      <c r="D824" s="1"/>
    </row>
    <row r="825" spans="4:4" ht="13.5" customHeight="1" x14ac:dyDescent="0.25">
      <c r="D825" s="1"/>
    </row>
    <row r="826" spans="4:4" ht="13.5" customHeight="1" x14ac:dyDescent="0.25">
      <c r="D826" s="1"/>
    </row>
    <row r="827" spans="4:4" ht="13.5" customHeight="1" x14ac:dyDescent="0.25">
      <c r="D827" s="1"/>
    </row>
    <row r="828" spans="4:4" ht="13.5" customHeight="1" x14ac:dyDescent="0.25">
      <c r="D828" s="1"/>
    </row>
    <row r="829" spans="4:4" ht="13.5" customHeight="1" x14ac:dyDescent="0.25">
      <c r="D829" s="1"/>
    </row>
    <row r="830" spans="4:4" ht="13.5" customHeight="1" x14ac:dyDescent="0.25">
      <c r="D830" s="1"/>
    </row>
    <row r="831" spans="4:4" ht="13.5" customHeight="1" x14ac:dyDescent="0.25">
      <c r="D831" s="1"/>
    </row>
    <row r="832" spans="4:4" ht="13.5" customHeight="1" x14ac:dyDescent="0.25">
      <c r="D832" s="1"/>
    </row>
    <row r="833" spans="4:4" ht="13.5" customHeight="1" x14ac:dyDescent="0.25">
      <c r="D833" s="1"/>
    </row>
    <row r="834" spans="4:4" ht="13.5" customHeight="1" x14ac:dyDescent="0.25">
      <c r="D834" s="1"/>
    </row>
    <row r="835" spans="4:4" ht="13.5" customHeight="1" x14ac:dyDescent="0.25">
      <c r="D835" s="1"/>
    </row>
    <row r="836" spans="4:4" ht="13.5" customHeight="1" x14ac:dyDescent="0.25">
      <c r="D836" s="1"/>
    </row>
    <row r="837" spans="4:4" ht="13.5" customHeight="1" x14ac:dyDescent="0.25">
      <c r="D837" s="1"/>
    </row>
    <row r="838" spans="4:4" ht="13.5" customHeight="1" x14ac:dyDescent="0.25">
      <c r="D838" s="1"/>
    </row>
    <row r="839" spans="4:4" ht="13.5" customHeight="1" x14ac:dyDescent="0.25">
      <c r="D839" s="1"/>
    </row>
    <row r="840" spans="4:4" ht="13.5" customHeight="1" x14ac:dyDescent="0.25">
      <c r="D840" s="1"/>
    </row>
    <row r="841" spans="4:4" ht="13.5" customHeight="1" x14ac:dyDescent="0.25">
      <c r="D841" s="1"/>
    </row>
    <row r="842" spans="4:4" ht="13.5" customHeight="1" x14ac:dyDescent="0.25">
      <c r="D842" s="1"/>
    </row>
    <row r="843" spans="4:4" ht="13.5" customHeight="1" x14ac:dyDescent="0.25">
      <c r="D843" s="1"/>
    </row>
    <row r="844" spans="4:4" ht="13.5" customHeight="1" x14ac:dyDescent="0.25">
      <c r="D844" s="1"/>
    </row>
    <row r="845" spans="4:4" ht="13.5" customHeight="1" x14ac:dyDescent="0.25">
      <c r="D845" s="1"/>
    </row>
    <row r="846" spans="4:4" ht="13.5" customHeight="1" x14ac:dyDescent="0.25">
      <c r="D846" s="1"/>
    </row>
    <row r="847" spans="4:4" ht="13.5" customHeight="1" x14ac:dyDescent="0.25">
      <c r="D847" s="1"/>
    </row>
    <row r="848" spans="4:4" ht="13.5" customHeight="1" x14ac:dyDescent="0.25">
      <c r="D848" s="1"/>
    </row>
    <row r="849" spans="4:4" ht="13.5" customHeight="1" x14ac:dyDescent="0.25">
      <c r="D849" s="1"/>
    </row>
    <row r="850" spans="4:4" ht="13.5" customHeight="1" x14ac:dyDescent="0.25">
      <c r="D850" s="1"/>
    </row>
    <row r="851" spans="4:4" ht="13.5" customHeight="1" x14ac:dyDescent="0.25">
      <c r="D851" s="1"/>
    </row>
    <row r="852" spans="4:4" ht="13.5" customHeight="1" x14ac:dyDescent="0.25">
      <c r="D852" s="1"/>
    </row>
    <row r="853" spans="4:4" ht="13.5" customHeight="1" x14ac:dyDescent="0.25">
      <c r="D853" s="1"/>
    </row>
    <row r="854" spans="4:4" ht="13.5" customHeight="1" x14ac:dyDescent="0.25">
      <c r="D854" s="1"/>
    </row>
    <row r="855" spans="4:4" ht="13.5" customHeight="1" x14ac:dyDescent="0.25">
      <c r="D855" s="1"/>
    </row>
    <row r="856" spans="4:4" ht="13.5" customHeight="1" x14ac:dyDescent="0.25">
      <c r="D856" s="1"/>
    </row>
    <row r="857" spans="4:4" ht="13.5" customHeight="1" x14ac:dyDescent="0.25">
      <c r="D857" s="1"/>
    </row>
    <row r="858" spans="4:4" ht="13.5" customHeight="1" x14ac:dyDescent="0.25">
      <c r="D858" s="1"/>
    </row>
    <row r="859" spans="4:4" ht="13.5" customHeight="1" x14ac:dyDescent="0.25">
      <c r="D859" s="1"/>
    </row>
    <row r="860" spans="4:4" ht="13.5" customHeight="1" x14ac:dyDescent="0.25">
      <c r="D860" s="1"/>
    </row>
    <row r="861" spans="4:4" ht="13.5" customHeight="1" x14ac:dyDescent="0.25">
      <c r="D861" s="1"/>
    </row>
    <row r="862" spans="4:4" ht="13.5" customHeight="1" x14ac:dyDescent="0.25">
      <c r="D862" s="1"/>
    </row>
    <row r="863" spans="4:4" ht="13.5" customHeight="1" x14ac:dyDescent="0.25">
      <c r="D863" s="1"/>
    </row>
    <row r="864" spans="4:4" ht="13.5" customHeight="1" x14ac:dyDescent="0.25">
      <c r="D864" s="1"/>
    </row>
    <row r="865" spans="4:4" ht="13.5" customHeight="1" x14ac:dyDescent="0.25">
      <c r="D865" s="1"/>
    </row>
    <row r="866" spans="4:4" ht="13.5" customHeight="1" x14ac:dyDescent="0.25">
      <c r="D866" s="1"/>
    </row>
    <row r="867" spans="4:4" ht="13.5" customHeight="1" x14ac:dyDescent="0.25">
      <c r="D867" s="1"/>
    </row>
    <row r="868" spans="4:4" ht="13.5" customHeight="1" x14ac:dyDescent="0.25">
      <c r="D868" s="1"/>
    </row>
    <row r="869" spans="4:4" ht="13.5" customHeight="1" x14ac:dyDescent="0.25">
      <c r="D869" s="1"/>
    </row>
    <row r="870" spans="4:4" ht="13.5" customHeight="1" x14ac:dyDescent="0.25">
      <c r="D870" s="1"/>
    </row>
    <row r="871" spans="4:4" ht="13.5" customHeight="1" x14ac:dyDescent="0.25">
      <c r="D871" s="1"/>
    </row>
    <row r="872" spans="4:4" ht="13.5" customHeight="1" x14ac:dyDescent="0.25">
      <c r="D872" s="1"/>
    </row>
    <row r="873" spans="4:4" ht="13.5" customHeight="1" x14ac:dyDescent="0.25">
      <c r="D873" s="1"/>
    </row>
    <row r="874" spans="4:4" ht="13.5" customHeight="1" x14ac:dyDescent="0.25">
      <c r="D874" s="1"/>
    </row>
    <row r="875" spans="4:4" ht="13.5" customHeight="1" x14ac:dyDescent="0.25">
      <c r="D875" s="1"/>
    </row>
    <row r="876" spans="4:4" ht="13.5" customHeight="1" x14ac:dyDescent="0.25">
      <c r="D876" s="1"/>
    </row>
    <row r="877" spans="4:4" ht="13.5" customHeight="1" x14ac:dyDescent="0.25">
      <c r="D877" s="1"/>
    </row>
    <row r="878" spans="4:4" ht="13.5" customHeight="1" x14ac:dyDescent="0.25">
      <c r="D878" s="1"/>
    </row>
    <row r="879" spans="4:4" ht="13.5" customHeight="1" x14ac:dyDescent="0.25">
      <c r="D879" s="1"/>
    </row>
    <row r="880" spans="4:4" ht="13.5" customHeight="1" x14ac:dyDescent="0.25">
      <c r="D880" s="1"/>
    </row>
    <row r="881" spans="4:4" ht="13.5" customHeight="1" x14ac:dyDescent="0.25">
      <c r="D881" s="1"/>
    </row>
    <row r="882" spans="4:4" ht="13.5" customHeight="1" x14ac:dyDescent="0.25">
      <c r="D882" s="1"/>
    </row>
    <row r="883" spans="4:4" ht="13.5" customHeight="1" x14ac:dyDescent="0.25">
      <c r="D883" s="1"/>
    </row>
    <row r="884" spans="4:4" ht="13.5" customHeight="1" x14ac:dyDescent="0.25">
      <c r="D884" s="1"/>
    </row>
    <row r="885" spans="4:4" ht="13.5" customHeight="1" x14ac:dyDescent="0.25">
      <c r="D885" s="1"/>
    </row>
    <row r="886" spans="4:4" ht="13.5" customHeight="1" x14ac:dyDescent="0.25">
      <c r="D886" s="1"/>
    </row>
    <row r="887" spans="4:4" ht="13.5" customHeight="1" x14ac:dyDescent="0.25">
      <c r="D887" s="1"/>
    </row>
    <row r="888" spans="4:4" ht="13.5" customHeight="1" x14ac:dyDescent="0.25">
      <c r="D888" s="1"/>
    </row>
    <row r="889" spans="4:4" ht="13.5" customHeight="1" x14ac:dyDescent="0.25">
      <c r="D889" s="1"/>
    </row>
    <row r="890" spans="4:4" ht="13.5" customHeight="1" x14ac:dyDescent="0.25">
      <c r="D890" s="1"/>
    </row>
    <row r="891" spans="4:4" ht="13.5" customHeight="1" x14ac:dyDescent="0.25">
      <c r="D891" s="1"/>
    </row>
    <row r="892" spans="4:4" ht="13.5" customHeight="1" x14ac:dyDescent="0.25">
      <c r="D892" s="1"/>
    </row>
    <row r="893" spans="4:4" ht="13.5" customHeight="1" x14ac:dyDescent="0.25">
      <c r="D893" s="1"/>
    </row>
    <row r="894" spans="4:4" ht="13.5" customHeight="1" x14ac:dyDescent="0.25">
      <c r="D894" s="1"/>
    </row>
    <row r="895" spans="4:4" ht="13.5" customHeight="1" x14ac:dyDescent="0.25">
      <c r="D895" s="1"/>
    </row>
    <row r="896" spans="4:4" ht="13.5" customHeight="1" x14ac:dyDescent="0.25">
      <c r="D896" s="1"/>
    </row>
    <row r="897" spans="4:4" ht="13.5" customHeight="1" x14ac:dyDescent="0.25">
      <c r="D897" s="1"/>
    </row>
    <row r="898" spans="4:4" ht="13.5" customHeight="1" x14ac:dyDescent="0.25">
      <c r="D898" s="1"/>
    </row>
    <row r="899" spans="4:4" ht="13.5" customHeight="1" x14ac:dyDescent="0.25">
      <c r="D899" s="1"/>
    </row>
    <row r="900" spans="4:4" ht="13.5" customHeight="1" x14ac:dyDescent="0.25">
      <c r="D900" s="1"/>
    </row>
    <row r="901" spans="4:4" ht="13.5" customHeight="1" x14ac:dyDescent="0.25">
      <c r="D901" s="1"/>
    </row>
    <row r="902" spans="4:4" ht="13.5" customHeight="1" x14ac:dyDescent="0.25">
      <c r="D902" s="1"/>
    </row>
    <row r="903" spans="4:4" ht="13.5" customHeight="1" x14ac:dyDescent="0.25">
      <c r="D903" s="1"/>
    </row>
    <row r="904" spans="4:4" ht="13.5" customHeight="1" x14ac:dyDescent="0.25">
      <c r="D904" s="1"/>
    </row>
    <row r="905" spans="4:4" ht="13.5" customHeight="1" x14ac:dyDescent="0.25">
      <c r="D905" s="1"/>
    </row>
    <row r="906" spans="4:4" ht="13.5" customHeight="1" x14ac:dyDescent="0.25">
      <c r="D906" s="1"/>
    </row>
    <row r="907" spans="4:4" ht="13.5" customHeight="1" x14ac:dyDescent="0.25">
      <c r="D907" s="1"/>
    </row>
    <row r="908" spans="4:4" ht="13.5" customHeight="1" x14ac:dyDescent="0.25">
      <c r="D908" s="1"/>
    </row>
    <row r="909" spans="4:4" ht="13.5" customHeight="1" x14ac:dyDescent="0.25">
      <c r="D909" s="1"/>
    </row>
    <row r="910" spans="4:4" ht="13.5" customHeight="1" x14ac:dyDescent="0.25">
      <c r="D910" s="1"/>
    </row>
    <row r="911" spans="4:4" ht="13.5" customHeight="1" x14ac:dyDescent="0.25">
      <c r="D911" s="1"/>
    </row>
    <row r="912" spans="4:4" ht="13.5" customHeight="1" x14ac:dyDescent="0.25">
      <c r="D912" s="1"/>
    </row>
    <row r="913" spans="4:4" ht="13.5" customHeight="1" x14ac:dyDescent="0.25">
      <c r="D913" s="1"/>
    </row>
    <row r="914" spans="4:4" ht="13.5" customHeight="1" x14ac:dyDescent="0.25">
      <c r="D914" s="1"/>
    </row>
    <row r="915" spans="4:4" ht="13.5" customHeight="1" x14ac:dyDescent="0.25">
      <c r="D915" s="1"/>
    </row>
    <row r="916" spans="4:4" ht="13.5" customHeight="1" x14ac:dyDescent="0.25">
      <c r="D916" s="1"/>
    </row>
    <row r="917" spans="4:4" ht="13.5" customHeight="1" x14ac:dyDescent="0.25">
      <c r="D917" s="1"/>
    </row>
    <row r="918" spans="4:4" ht="13.5" customHeight="1" x14ac:dyDescent="0.25">
      <c r="D918" s="1"/>
    </row>
    <row r="919" spans="4:4" ht="13.5" customHeight="1" x14ac:dyDescent="0.25">
      <c r="D919" s="1"/>
    </row>
    <row r="920" spans="4:4" ht="13.5" customHeight="1" x14ac:dyDescent="0.25">
      <c r="D920" s="1"/>
    </row>
    <row r="921" spans="4:4" ht="13.5" customHeight="1" x14ac:dyDescent="0.25">
      <c r="D921" s="1"/>
    </row>
    <row r="922" spans="4:4" ht="13.5" customHeight="1" x14ac:dyDescent="0.25">
      <c r="D922" s="1"/>
    </row>
    <row r="923" spans="4:4" ht="13.5" customHeight="1" x14ac:dyDescent="0.25">
      <c r="D923" s="1"/>
    </row>
    <row r="924" spans="4:4" ht="13.5" customHeight="1" x14ac:dyDescent="0.25">
      <c r="D924" s="1"/>
    </row>
    <row r="925" spans="4:4" ht="13.5" customHeight="1" x14ac:dyDescent="0.25">
      <c r="D925" s="1"/>
    </row>
    <row r="926" spans="4:4" ht="13.5" customHeight="1" x14ac:dyDescent="0.25">
      <c r="D926" s="1"/>
    </row>
    <row r="927" spans="4:4" ht="13.5" customHeight="1" x14ac:dyDescent="0.25">
      <c r="D927" s="1"/>
    </row>
    <row r="928" spans="4:4" ht="13.5" customHeight="1" x14ac:dyDescent="0.25">
      <c r="D928" s="1"/>
    </row>
    <row r="929" spans="4:4" ht="13.5" customHeight="1" x14ac:dyDescent="0.25">
      <c r="D929" s="1"/>
    </row>
    <row r="930" spans="4:4" ht="13.5" customHeight="1" x14ac:dyDescent="0.25">
      <c r="D930" s="1"/>
    </row>
    <row r="931" spans="4:4" ht="13.5" customHeight="1" x14ac:dyDescent="0.25">
      <c r="D931" s="1"/>
    </row>
    <row r="932" spans="4:4" ht="13.5" customHeight="1" x14ac:dyDescent="0.25">
      <c r="D932" s="1"/>
    </row>
    <row r="933" spans="4:4" ht="13.5" customHeight="1" x14ac:dyDescent="0.25">
      <c r="D933" s="1"/>
    </row>
    <row r="934" spans="4:4" ht="13.5" customHeight="1" x14ac:dyDescent="0.25">
      <c r="D934" s="1"/>
    </row>
    <row r="935" spans="4:4" ht="13.5" customHeight="1" x14ac:dyDescent="0.25">
      <c r="D935" s="1"/>
    </row>
    <row r="936" spans="4:4" ht="13.5" customHeight="1" x14ac:dyDescent="0.25">
      <c r="D936" s="1"/>
    </row>
    <row r="937" spans="4:4" ht="13.5" customHeight="1" x14ac:dyDescent="0.25">
      <c r="D937" s="1"/>
    </row>
    <row r="938" spans="4:4" ht="13.5" customHeight="1" x14ac:dyDescent="0.25">
      <c r="D938" s="1"/>
    </row>
    <row r="939" spans="4:4" ht="13.5" customHeight="1" x14ac:dyDescent="0.25">
      <c r="D939" s="1"/>
    </row>
    <row r="940" spans="4:4" ht="13.5" customHeight="1" x14ac:dyDescent="0.25">
      <c r="D940" s="1"/>
    </row>
    <row r="941" spans="4:4" ht="13.5" customHeight="1" x14ac:dyDescent="0.25">
      <c r="D941" s="1"/>
    </row>
    <row r="942" spans="4:4" ht="13.5" customHeight="1" x14ac:dyDescent="0.25">
      <c r="D942" s="1"/>
    </row>
    <row r="943" spans="4:4" ht="13.5" customHeight="1" x14ac:dyDescent="0.25">
      <c r="D943" s="1"/>
    </row>
    <row r="944" spans="4:4" ht="13.5" customHeight="1" x14ac:dyDescent="0.25">
      <c r="D944" s="1"/>
    </row>
    <row r="945" spans="4:4" ht="13.5" customHeight="1" x14ac:dyDescent="0.25">
      <c r="D945" s="1"/>
    </row>
    <row r="946" spans="4:4" ht="13.5" customHeight="1" x14ac:dyDescent="0.25">
      <c r="D946" s="1"/>
    </row>
    <row r="947" spans="4:4" ht="13.5" customHeight="1" x14ac:dyDescent="0.25">
      <c r="D947" s="1"/>
    </row>
    <row r="948" spans="4:4" ht="13.5" customHeight="1" x14ac:dyDescent="0.25">
      <c r="D948" s="1"/>
    </row>
    <row r="949" spans="4:4" ht="13.5" customHeight="1" x14ac:dyDescent="0.25">
      <c r="D949" s="1"/>
    </row>
    <row r="950" spans="4:4" ht="13.5" customHeight="1" x14ac:dyDescent="0.25">
      <c r="D950" s="1"/>
    </row>
    <row r="951" spans="4:4" ht="13.5" customHeight="1" x14ac:dyDescent="0.25">
      <c r="D951" s="1"/>
    </row>
    <row r="952" spans="4:4" ht="13.5" customHeight="1" x14ac:dyDescent="0.25">
      <c r="D952" s="1"/>
    </row>
    <row r="953" spans="4:4" ht="13.5" customHeight="1" x14ac:dyDescent="0.25">
      <c r="D953" s="1"/>
    </row>
    <row r="954" spans="4:4" ht="13.5" customHeight="1" x14ac:dyDescent="0.25">
      <c r="D954" s="1"/>
    </row>
    <row r="955" spans="4:4" ht="13.5" customHeight="1" x14ac:dyDescent="0.25">
      <c r="D955" s="1"/>
    </row>
    <row r="956" spans="4:4" ht="13.5" customHeight="1" x14ac:dyDescent="0.25">
      <c r="D956" s="1"/>
    </row>
    <row r="957" spans="4:4" ht="13.5" customHeight="1" x14ac:dyDescent="0.25">
      <c r="D957" s="1"/>
    </row>
    <row r="958" spans="4:4" ht="13.5" customHeight="1" x14ac:dyDescent="0.25">
      <c r="D958" s="1"/>
    </row>
    <row r="959" spans="4:4" ht="13.5" customHeight="1" x14ac:dyDescent="0.25">
      <c r="D959" s="1"/>
    </row>
    <row r="960" spans="4:4" ht="13.5" customHeight="1" x14ac:dyDescent="0.25">
      <c r="D960" s="1"/>
    </row>
    <row r="961" spans="4:4" ht="13.5" customHeight="1" x14ac:dyDescent="0.25">
      <c r="D961" s="1"/>
    </row>
    <row r="962" spans="4:4" ht="13.5" customHeight="1" x14ac:dyDescent="0.25">
      <c r="D962" s="1"/>
    </row>
    <row r="963" spans="4:4" ht="13.5" customHeight="1" x14ac:dyDescent="0.25">
      <c r="D963" s="1"/>
    </row>
    <row r="964" spans="4:4" ht="13.5" customHeight="1" x14ac:dyDescent="0.25">
      <c r="D964" s="1"/>
    </row>
    <row r="965" spans="4:4" ht="13.5" customHeight="1" x14ac:dyDescent="0.25">
      <c r="D965" s="1"/>
    </row>
    <row r="966" spans="4:4" ht="13.5" customHeight="1" x14ac:dyDescent="0.25">
      <c r="D966" s="1"/>
    </row>
    <row r="967" spans="4:4" ht="13.5" customHeight="1" x14ac:dyDescent="0.25">
      <c r="D967" s="1"/>
    </row>
    <row r="968" spans="4:4" ht="13.5" customHeight="1" x14ac:dyDescent="0.25">
      <c r="D968" s="1"/>
    </row>
    <row r="969" spans="4:4" ht="13.5" customHeight="1" x14ac:dyDescent="0.25">
      <c r="D969" s="1"/>
    </row>
    <row r="970" spans="4:4" ht="13.5" customHeight="1" x14ac:dyDescent="0.25">
      <c r="D970" s="1"/>
    </row>
    <row r="971" spans="4:4" ht="13.5" customHeight="1" x14ac:dyDescent="0.25">
      <c r="D971" s="1"/>
    </row>
    <row r="972" spans="4:4" ht="13.5" customHeight="1" x14ac:dyDescent="0.25">
      <c r="D972" s="1"/>
    </row>
    <row r="973" spans="4:4" ht="13.5" customHeight="1" x14ac:dyDescent="0.25">
      <c r="D973" s="1"/>
    </row>
    <row r="974" spans="4:4" ht="13.5" customHeight="1" x14ac:dyDescent="0.25">
      <c r="D974" s="1"/>
    </row>
    <row r="975" spans="4:4" ht="13.5" customHeight="1" x14ac:dyDescent="0.25">
      <c r="D975" s="1"/>
    </row>
    <row r="976" spans="4:4" ht="13.5" customHeight="1" x14ac:dyDescent="0.25">
      <c r="D976" s="1"/>
    </row>
    <row r="977" spans="4:4" ht="13.5" customHeight="1" x14ac:dyDescent="0.25">
      <c r="D977" s="1"/>
    </row>
    <row r="978" spans="4:4" ht="13.5" customHeight="1" x14ac:dyDescent="0.25">
      <c r="D978" s="1"/>
    </row>
    <row r="979" spans="4:4" ht="13.5" customHeight="1" x14ac:dyDescent="0.25">
      <c r="D979" s="1"/>
    </row>
    <row r="980" spans="4:4" ht="13.5" customHeight="1" x14ac:dyDescent="0.25">
      <c r="D980" s="1"/>
    </row>
    <row r="981" spans="4:4" ht="13.5" customHeight="1" x14ac:dyDescent="0.25">
      <c r="D981" s="1"/>
    </row>
    <row r="982" spans="4:4" ht="13.5" customHeight="1" x14ac:dyDescent="0.25">
      <c r="D982" s="1"/>
    </row>
    <row r="983" spans="4:4" ht="13.5" customHeight="1" x14ac:dyDescent="0.25">
      <c r="D983" s="1"/>
    </row>
    <row r="984" spans="4:4" ht="13.5" customHeight="1" x14ac:dyDescent="0.25">
      <c r="D984" s="1"/>
    </row>
    <row r="985" spans="4:4" ht="13.5" customHeight="1" x14ac:dyDescent="0.25">
      <c r="D985" s="1"/>
    </row>
    <row r="986" spans="4:4" ht="13.5" customHeight="1" x14ac:dyDescent="0.25">
      <c r="D986" s="1"/>
    </row>
    <row r="987" spans="4:4" ht="13.5" customHeight="1" x14ac:dyDescent="0.25">
      <c r="D987" s="1"/>
    </row>
    <row r="988" spans="4:4" ht="13.5" customHeight="1" x14ac:dyDescent="0.25">
      <c r="D988" s="1"/>
    </row>
    <row r="989" spans="4:4" ht="13.5" customHeight="1" x14ac:dyDescent="0.25">
      <c r="D989" s="1"/>
    </row>
    <row r="990" spans="4:4" ht="13.5" customHeight="1" x14ac:dyDescent="0.25">
      <c r="D990" s="1"/>
    </row>
    <row r="991" spans="4:4" ht="13.5" customHeight="1" x14ac:dyDescent="0.25">
      <c r="D991" s="1"/>
    </row>
    <row r="992" spans="4:4" ht="13.5" customHeight="1" x14ac:dyDescent="0.25">
      <c r="D992" s="1"/>
    </row>
    <row r="993" spans="4:4" ht="13.5" customHeight="1" x14ac:dyDescent="0.25">
      <c r="D993" s="1"/>
    </row>
    <row r="994" spans="4:4" ht="13.5" customHeight="1" x14ac:dyDescent="0.25">
      <c r="D994" s="1"/>
    </row>
    <row r="995" spans="4:4" ht="13.5" customHeight="1" x14ac:dyDescent="0.25">
      <c r="D995" s="1"/>
    </row>
    <row r="996" spans="4:4" ht="13.5" customHeight="1" x14ac:dyDescent="0.25">
      <c r="D996" s="1"/>
    </row>
    <row r="997" spans="4:4" ht="13.5" customHeight="1" x14ac:dyDescent="0.25">
      <c r="D997" s="1"/>
    </row>
    <row r="998" spans="4:4" ht="13.5" customHeight="1" x14ac:dyDescent="0.25">
      <c r="D998" s="1"/>
    </row>
    <row r="999" spans="4:4" ht="13.5" customHeight="1" x14ac:dyDescent="0.25">
      <c r="D999" s="1"/>
    </row>
    <row r="1000" spans="4:4" ht="13.5" customHeight="1" x14ac:dyDescent="0.25">
      <c r="D1000" s="1"/>
    </row>
    <row r="1001" spans="4:4" ht="13.5" customHeight="1" x14ac:dyDescent="0.25">
      <c r="D1001" s="1"/>
    </row>
    <row r="1002" spans="4:4" ht="13.5" customHeight="1" x14ac:dyDescent="0.25">
      <c r="D1002" s="1"/>
    </row>
    <row r="1003" spans="4:4" ht="13.5" customHeight="1" x14ac:dyDescent="0.25">
      <c r="D1003" s="1"/>
    </row>
    <row r="1004" spans="4:4" ht="13.5" customHeight="1" x14ac:dyDescent="0.25">
      <c r="D1004" s="1"/>
    </row>
  </sheetData>
  <hyperlinks>
    <hyperlink ref="A3" location="inputoutput!A1" display="Inputoutput" xr:uid="{00000000-0004-0000-0000-000000000000}"/>
    <hyperlink ref="A4" location="prices!A1" display="Prices" xr:uid="{00000000-0004-0000-0000-000001000000}"/>
    <hyperlink ref="E4" r:id="rId1" xr:uid="{00000000-0004-0000-0000-000002000000}"/>
    <hyperlink ref="A5" location="profits!A1" display="Profits" xr:uid="{00000000-0004-0000-0000-000003000000}"/>
    <hyperlink ref="A6" location="consumption!A1" display="consumption" xr:uid="{00000000-0004-0000-0000-000004000000}"/>
    <hyperlink ref="A7" location="investments!A1" display="investments" xr:uid="{00000000-0004-0000-0000-000005000000}"/>
    <hyperlink ref="A8" location="internationaltrade!A1" display="internal trade" xr:uid="{00000000-0004-0000-0000-000006000000}"/>
    <hyperlink ref="A9" location="hhincome!A1" display="hh income" xr:uid="{00000000-0004-0000-0000-000007000000}"/>
    <hyperlink ref="A10" location="finance!A1" display="finance" xr:uid="{00000000-0004-0000-0000-000008000000}"/>
    <hyperlink ref="E10" r:id="rId2" xr:uid="{00000000-0004-0000-0000-000009000000}"/>
    <hyperlink ref="A11" location="labour!A1" display="labour" xr:uid="{00000000-0004-0000-0000-00000A000000}"/>
    <hyperlink ref="E11" r:id="rId3" xr:uid="{00000000-0004-0000-0000-00000B000000}"/>
    <hyperlink ref="A12" location="government!A1" display="government" xr:uid="{00000000-0004-0000-0000-00000C000000}"/>
    <hyperlink ref="E12" r:id="rId4" xr:uid="{00000000-0004-0000-0000-00000D000000}"/>
    <hyperlink ref="E13" r:id="rId5" xr:uid="{00000000-0004-0000-0000-00000E000000}"/>
    <hyperlink ref="E14" r:id="rId6" xr:uid="{00000000-0004-0000-0000-00000F000000}"/>
    <hyperlink ref="E15" r:id="rId7" xr:uid="{00000000-0004-0000-0000-000010000000}"/>
    <hyperlink ref="E16" r:id="rId8" xr:uid="{00000000-0004-0000-0000-000011000000}"/>
    <hyperlink ref="A17" location="technology!A1" display="technology" xr:uid="{00000000-0004-0000-0000-000012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982"/>
  <sheetViews>
    <sheetView workbookViewId="0"/>
  </sheetViews>
  <sheetFormatPr defaultColWidth="12.59765625" defaultRowHeight="15" customHeight="1" x14ac:dyDescent="0.25"/>
  <cols>
    <col min="1" max="1" width="5.69921875" customWidth="1"/>
    <col min="2" max="2" width="16.69921875" customWidth="1"/>
    <col min="3" max="3" width="22.3984375" customWidth="1"/>
    <col min="4" max="4" width="7.59765625" customWidth="1"/>
    <col min="5" max="21" width="5.59765625" customWidth="1"/>
    <col min="22" max="22" width="6.8984375" customWidth="1"/>
    <col min="23" max="26" width="5.69921875" customWidth="1"/>
  </cols>
  <sheetData>
    <row r="2" spans="2:22" ht="14.4" x14ac:dyDescent="0.3">
      <c r="B2" s="14" t="s">
        <v>40</v>
      </c>
      <c r="C2" s="1" t="s">
        <v>41</v>
      </c>
      <c r="D2" s="1" t="s">
        <v>42</v>
      </c>
      <c r="E2" s="1" t="s">
        <v>43</v>
      </c>
      <c r="F2" s="1">
        <v>19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</row>
    <row r="3" spans="2:22" ht="15.75" customHeight="1" x14ac:dyDescent="0.3">
      <c r="B3" s="7" t="s">
        <v>59</v>
      </c>
      <c r="C3" s="7">
        <v>51486036589.999992</v>
      </c>
      <c r="D3" s="7">
        <v>8488450699.9999971</v>
      </c>
      <c r="E3" s="7">
        <v>840927586039.99988</v>
      </c>
      <c r="F3" s="7">
        <v>55030821130</v>
      </c>
      <c r="G3" s="7">
        <v>81924583690</v>
      </c>
      <c r="H3" s="7">
        <v>40706803779.999992</v>
      </c>
      <c r="I3" s="7">
        <v>253788658810.00003</v>
      </c>
      <c r="J3" s="7">
        <v>321171097779.99994</v>
      </c>
      <c r="K3" s="7">
        <v>176230440110</v>
      </c>
      <c r="L3" s="7">
        <v>98492354960</v>
      </c>
      <c r="M3" s="7">
        <v>129114277810</v>
      </c>
      <c r="N3" s="7">
        <v>132655074620</v>
      </c>
      <c r="O3" s="7">
        <v>218428075640</v>
      </c>
      <c r="P3" s="7">
        <v>257921104010</v>
      </c>
      <c r="Q3" s="7">
        <v>136543200020.00002</v>
      </c>
      <c r="R3" s="7">
        <v>74505470829.999985</v>
      </c>
      <c r="S3" s="7">
        <v>142940529740</v>
      </c>
      <c r="T3" s="7">
        <v>41307583470</v>
      </c>
      <c r="U3" s="7">
        <v>56320661259.999992</v>
      </c>
    </row>
    <row r="4" spans="2:22" ht="15.75" customHeight="1" x14ac:dyDescent="0.3">
      <c r="B4" s="7" t="s">
        <v>60</v>
      </c>
      <c r="C4" s="7">
        <v>28416700000</v>
      </c>
      <c r="D4" s="7">
        <v>4597400000</v>
      </c>
      <c r="E4" s="7">
        <v>226115100000</v>
      </c>
      <c r="F4" s="7">
        <v>2163900000</v>
      </c>
      <c r="G4" s="7">
        <v>25187698188.367599</v>
      </c>
      <c r="H4" s="7">
        <v>12515301811.632402</v>
      </c>
      <c r="I4" s="7">
        <v>81207200000</v>
      </c>
      <c r="J4" s="7">
        <v>160670200000</v>
      </c>
      <c r="K4" s="7">
        <v>77901500000</v>
      </c>
      <c r="L4" s="7">
        <v>51655800000</v>
      </c>
      <c r="M4" s="7">
        <v>62263900000</v>
      </c>
      <c r="N4" s="7">
        <v>75909900000</v>
      </c>
      <c r="O4" s="7">
        <v>188745800000</v>
      </c>
      <c r="P4" s="7">
        <v>135962799999.99998</v>
      </c>
      <c r="Q4" s="7">
        <v>103094000000</v>
      </c>
      <c r="R4" s="7">
        <v>63722900000</v>
      </c>
      <c r="S4" s="7">
        <v>86051700000</v>
      </c>
      <c r="T4" s="7">
        <v>16620800000</v>
      </c>
      <c r="U4" s="7">
        <v>40443900000</v>
      </c>
    </row>
    <row r="5" spans="2:22" ht="15.75" customHeight="1" x14ac:dyDescent="0.3">
      <c r="B5" s="7" t="s">
        <v>61</v>
      </c>
      <c r="C5" s="7">
        <v>27103463170.92078</v>
      </c>
      <c r="D5" s="7">
        <v>1185015685.3778439</v>
      </c>
      <c r="E5" s="7">
        <v>154257053078.53827</v>
      </c>
      <c r="F5" s="7">
        <v>1354765221.3740458</v>
      </c>
      <c r="G5" s="7">
        <v>8726565803.7914963</v>
      </c>
      <c r="H5" s="7">
        <v>4336069298.462533</v>
      </c>
      <c r="I5" s="7">
        <v>64778983601.593323</v>
      </c>
      <c r="J5" s="7">
        <v>131255358053.55368</v>
      </c>
      <c r="K5" s="7">
        <v>45890195117.818405</v>
      </c>
      <c r="L5" s="7">
        <v>39139532942.001511</v>
      </c>
      <c r="M5" s="7">
        <v>30572150180.784645</v>
      </c>
      <c r="N5" s="7">
        <v>46340110672.214592</v>
      </c>
      <c r="O5" s="7">
        <v>7709655594.7538118</v>
      </c>
      <c r="P5" s="7">
        <v>95753007479.428375</v>
      </c>
      <c r="Q5" s="7">
        <v>70406000000</v>
      </c>
      <c r="R5" s="7">
        <v>61298652155.162048</v>
      </c>
      <c r="S5" s="7">
        <v>69160299789.196793</v>
      </c>
      <c r="T5" s="7">
        <v>12945291618.038326</v>
      </c>
      <c r="U5" s="7">
        <v>34581089277.966034</v>
      </c>
    </row>
    <row r="6" spans="2:22" ht="15.75" customHeight="1" x14ac:dyDescent="0.3">
      <c r="B6" s="7" t="s">
        <v>62</v>
      </c>
      <c r="C6" s="7">
        <v>1313236829.079222</v>
      </c>
      <c r="D6" s="7">
        <v>3412384314.6221557</v>
      </c>
      <c r="E6" s="7">
        <v>71858046921.461716</v>
      </c>
      <c r="F6" s="7">
        <v>809134778.62595415</v>
      </c>
      <c r="G6" s="7">
        <v>16461132384.576099</v>
      </c>
      <c r="H6" s="7">
        <v>8179232513.1698694</v>
      </c>
      <c r="I6" s="7">
        <v>16428216398.406672</v>
      </c>
      <c r="J6" s="7">
        <v>29414841946.446339</v>
      </c>
      <c r="K6" s="7">
        <v>32011304882.181599</v>
      </c>
      <c r="L6" s="7">
        <v>12516267057.998491</v>
      </c>
      <c r="M6" s="7">
        <v>31691749819.215359</v>
      </c>
      <c r="N6" s="7">
        <v>29569789327.7854</v>
      </c>
      <c r="O6" s="7">
        <v>181036144405.24619</v>
      </c>
      <c r="P6" s="7">
        <v>40209792520.571617</v>
      </c>
      <c r="Q6" s="7">
        <v>32688000000</v>
      </c>
      <c r="R6" s="7">
        <v>2424247844.837955</v>
      </c>
      <c r="S6" s="7">
        <v>16891400210.8032</v>
      </c>
      <c r="T6" s="7">
        <v>3675508381.9616718</v>
      </c>
      <c r="U6" s="7">
        <v>5862810722.0339699</v>
      </c>
    </row>
    <row r="7" spans="2:22" ht="15.75" customHeight="1" x14ac:dyDescent="0.25"/>
    <row r="8" spans="2:22" ht="15.75" customHeight="1" x14ac:dyDescent="0.3">
      <c r="B8" s="7" t="s">
        <v>63</v>
      </c>
      <c r="C8" s="7">
        <v>3117982900000.001</v>
      </c>
    </row>
    <row r="9" spans="2:22" ht="15.75" customHeight="1" x14ac:dyDescent="0.3">
      <c r="B9" s="7" t="s">
        <v>64</v>
      </c>
      <c r="C9" s="7">
        <v>1611279400000</v>
      </c>
    </row>
    <row r="10" spans="2:22" ht="15.75" customHeight="1" x14ac:dyDescent="0.25"/>
    <row r="11" spans="2:22" ht="15.75" customHeight="1" x14ac:dyDescent="0.3">
      <c r="B11" s="15" t="s">
        <v>65</v>
      </c>
      <c r="C11" s="16" t="s">
        <v>41</v>
      </c>
      <c r="D11" s="16" t="s">
        <v>42</v>
      </c>
      <c r="E11" s="16" t="s">
        <v>43</v>
      </c>
      <c r="F11" s="16" t="s">
        <v>66</v>
      </c>
      <c r="G11" s="16" t="s">
        <v>44</v>
      </c>
      <c r="H11" s="16" t="s">
        <v>45</v>
      </c>
      <c r="I11" s="16" t="s">
        <v>46</v>
      </c>
      <c r="J11" s="16" t="s">
        <v>47</v>
      </c>
      <c r="K11" s="16" t="s">
        <v>48</v>
      </c>
      <c r="L11" s="16" t="s">
        <v>49</v>
      </c>
      <c r="M11" s="16" t="s">
        <v>50</v>
      </c>
      <c r="N11" s="16" t="s">
        <v>51</v>
      </c>
      <c r="O11" s="16" t="s">
        <v>52</v>
      </c>
      <c r="P11" s="16" t="s">
        <v>67</v>
      </c>
      <c r="Q11" s="16" t="s">
        <v>54</v>
      </c>
      <c r="R11" s="16" t="s">
        <v>55</v>
      </c>
      <c r="S11" s="16" t="s">
        <v>56</v>
      </c>
      <c r="T11" s="16" t="s">
        <v>57</v>
      </c>
      <c r="U11" s="16" t="s">
        <v>68</v>
      </c>
      <c r="V11" s="16" t="s">
        <v>69</v>
      </c>
    </row>
    <row r="12" spans="2:22" ht="15.75" customHeight="1" x14ac:dyDescent="0.3">
      <c r="B12" s="16" t="s">
        <v>41</v>
      </c>
      <c r="C12" s="17">
        <v>5341434790</v>
      </c>
      <c r="D12" s="17">
        <v>1864100</v>
      </c>
      <c r="E12" s="17">
        <v>19562474419.999996</v>
      </c>
      <c r="F12" s="17">
        <v>5460789.9999999991</v>
      </c>
      <c r="G12" s="17">
        <v>77931400</v>
      </c>
      <c r="H12" s="17">
        <v>44285300.000000007</v>
      </c>
      <c r="I12" s="17">
        <v>87325760</v>
      </c>
      <c r="J12" s="17">
        <v>2618282570.0000005</v>
      </c>
      <c r="K12" s="17">
        <v>328003960</v>
      </c>
      <c r="L12" s="17">
        <v>1346276869.9999998</v>
      </c>
      <c r="M12" s="17">
        <v>59023519.999999993</v>
      </c>
      <c r="N12" s="17">
        <v>15287560.000000002</v>
      </c>
      <c r="O12" s="17">
        <v>24434110</v>
      </c>
      <c r="P12" s="17">
        <v>374945279.99999994</v>
      </c>
      <c r="Q12" s="17">
        <v>64730860.000000007</v>
      </c>
      <c r="R12" s="17">
        <v>20334269.999999996</v>
      </c>
      <c r="S12" s="17">
        <v>94505860.000000015</v>
      </c>
      <c r="T12" s="17">
        <v>65568170.000000007</v>
      </c>
      <c r="U12" s="17">
        <v>35171749.999999993</v>
      </c>
      <c r="V12" s="17">
        <f t="shared" ref="V12:V30" si="0">+SUM(C12:U12)</f>
        <v>30167341339.999996</v>
      </c>
    </row>
    <row r="13" spans="2:22" ht="15.75" customHeight="1" x14ac:dyDescent="0.3">
      <c r="B13" s="16" t="s">
        <v>42</v>
      </c>
      <c r="C13" s="17">
        <v>12391470</v>
      </c>
      <c r="D13" s="17">
        <v>32346200.000000011</v>
      </c>
      <c r="E13" s="17">
        <v>1911110679.9999998</v>
      </c>
      <c r="F13" s="17">
        <v>761706079.99999988</v>
      </c>
      <c r="G13" s="17">
        <v>887349400.00000012</v>
      </c>
      <c r="H13" s="17">
        <v>144206019.99999997</v>
      </c>
      <c r="I13" s="17">
        <v>765840780</v>
      </c>
      <c r="J13" s="17">
        <v>456768689.99999988</v>
      </c>
      <c r="K13" s="17">
        <v>58299379.999999985</v>
      </c>
      <c r="L13" s="17">
        <v>45560540</v>
      </c>
      <c r="M13" s="17">
        <v>56186279.999999985</v>
      </c>
      <c r="N13" s="17">
        <v>20486600.000000011</v>
      </c>
      <c r="O13" s="17">
        <v>45863179.999999985</v>
      </c>
      <c r="P13" s="17">
        <v>149714930</v>
      </c>
      <c r="Q13" s="17">
        <v>20211709.999999981</v>
      </c>
      <c r="R13" s="17">
        <v>13919600</v>
      </c>
      <c r="S13" s="17">
        <v>53049250</v>
      </c>
      <c r="T13" s="17">
        <v>16896290</v>
      </c>
      <c r="U13" s="17">
        <v>17072000.000000004</v>
      </c>
      <c r="V13" s="17">
        <f t="shared" si="0"/>
        <v>5468979080</v>
      </c>
    </row>
    <row r="14" spans="2:22" ht="15.75" customHeight="1" x14ac:dyDescent="0.3">
      <c r="B14" s="16" t="s">
        <v>43</v>
      </c>
      <c r="C14" s="17">
        <v>8001158280.000001</v>
      </c>
      <c r="D14" s="17">
        <v>947744010.00000012</v>
      </c>
      <c r="E14" s="17">
        <v>203932693479.99988</v>
      </c>
      <c r="F14" s="17">
        <v>2937229700.0000005</v>
      </c>
      <c r="G14" s="17">
        <v>1633233870</v>
      </c>
      <c r="H14" s="17">
        <v>3821435040</v>
      </c>
      <c r="I14" s="17">
        <v>38659734720.000008</v>
      </c>
      <c r="J14" s="17">
        <v>20694812889.999996</v>
      </c>
      <c r="K14" s="17">
        <v>11473123200.000004</v>
      </c>
      <c r="L14" s="17">
        <v>17838805040</v>
      </c>
      <c r="M14" s="17">
        <v>9027776360.0000038</v>
      </c>
      <c r="N14" s="17">
        <v>2586654659.9999995</v>
      </c>
      <c r="O14" s="17">
        <v>3195248190</v>
      </c>
      <c r="P14" s="17">
        <v>19186526370</v>
      </c>
      <c r="Q14" s="17">
        <v>1470519709.9999998</v>
      </c>
      <c r="R14" s="17">
        <v>795323540.00000012</v>
      </c>
      <c r="S14" s="17">
        <v>7444451620</v>
      </c>
      <c r="T14" s="17">
        <v>2385813870</v>
      </c>
      <c r="U14" s="17">
        <v>2512191650</v>
      </c>
      <c r="V14" s="17">
        <f t="shared" si="0"/>
        <v>358544476199.99988</v>
      </c>
    </row>
    <row r="15" spans="2:22" ht="15.75" customHeight="1" x14ac:dyDescent="0.3">
      <c r="B15" s="16" t="s">
        <v>66</v>
      </c>
      <c r="C15" s="17">
        <v>1518753320.0000002</v>
      </c>
      <c r="D15" s="17">
        <v>186874490</v>
      </c>
      <c r="E15" s="17">
        <v>7718445710.0000019</v>
      </c>
      <c r="F15" s="17">
        <v>4650431989.999999</v>
      </c>
      <c r="G15" s="17">
        <v>2547061700</v>
      </c>
      <c r="H15" s="17">
        <v>1044270859.9999999</v>
      </c>
      <c r="I15" s="17">
        <v>2066994620</v>
      </c>
      <c r="J15" s="17">
        <v>1278688550</v>
      </c>
      <c r="K15" s="17">
        <v>5821389449.9999981</v>
      </c>
      <c r="L15" s="17">
        <v>64638759.999999993</v>
      </c>
      <c r="M15" s="17">
        <v>40288560.000000007</v>
      </c>
      <c r="N15" s="17">
        <v>46344900</v>
      </c>
      <c r="O15" s="17">
        <v>8187310</v>
      </c>
      <c r="P15" s="17">
        <v>502647760</v>
      </c>
      <c r="Q15" s="17">
        <v>349523080</v>
      </c>
      <c r="R15" s="17">
        <v>6073200</v>
      </c>
      <c r="S15" s="17">
        <v>107268680</v>
      </c>
      <c r="T15" s="17">
        <v>24266840.000000004</v>
      </c>
      <c r="U15" s="17">
        <v>70834980</v>
      </c>
      <c r="V15" s="17">
        <f t="shared" si="0"/>
        <v>28052984760</v>
      </c>
    </row>
    <row r="16" spans="2:22" ht="15.75" customHeight="1" x14ac:dyDescent="0.3">
      <c r="B16" s="16" t="s">
        <v>44</v>
      </c>
      <c r="C16" s="17">
        <v>972515590</v>
      </c>
      <c r="D16" s="17">
        <v>206329910</v>
      </c>
      <c r="E16" s="17">
        <v>17434473619.999996</v>
      </c>
      <c r="F16" s="17">
        <v>1101534580.0000002</v>
      </c>
      <c r="G16" s="17">
        <v>24870658020</v>
      </c>
      <c r="H16" s="17">
        <v>1156593580</v>
      </c>
      <c r="I16" s="17">
        <v>949557940</v>
      </c>
      <c r="J16" s="17">
        <v>3613853760</v>
      </c>
      <c r="K16" s="17">
        <v>2071047970</v>
      </c>
      <c r="L16" s="17">
        <v>1893779700</v>
      </c>
      <c r="M16" s="17">
        <v>558911390</v>
      </c>
      <c r="N16" s="17">
        <v>567759020.00000012</v>
      </c>
      <c r="O16" s="17">
        <v>165521410</v>
      </c>
      <c r="P16" s="17">
        <v>1668542150</v>
      </c>
      <c r="Q16" s="17">
        <v>2082928590.0000005</v>
      </c>
      <c r="R16" s="17">
        <v>458163410</v>
      </c>
      <c r="S16" s="17">
        <v>1254963420</v>
      </c>
      <c r="T16" s="17">
        <v>271145350</v>
      </c>
      <c r="U16" s="17">
        <v>1338519840</v>
      </c>
      <c r="V16" s="17">
        <f t="shared" si="0"/>
        <v>62636799250</v>
      </c>
    </row>
    <row r="17" spans="2:22" ht="15.75" customHeight="1" x14ac:dyDescent="0.3">
      <c r="B17" s="16" t="s">
        <v>45</v>
      </c>
      <c r="C17" s="17">
        <v>420593980</v>
      </c>
      <c r="D17" s="17">
        <v>255131620.00000003</v>
      </c>
      <c r="E17" s="17">
        <v>10037448239.999998</v>
      </c>
      <c r="F17" s="17">
        <v>218641250</v>
      </c>
      <c r="G17" s="17">
        <v>1731930460</v>
      </c>
      <c r="H17" s="17">
        <v>8762157210</v>
      </c>
      <c r="I17" s="17">
        <v>1030233469.9999999</v>
      </c>
      <c r="J17" s="17">
        <v>830429050</v>
      </c>
      <c r="K17" s="17">
        <v>766297219.99999988</v>
      </c>
      <c r="L17" s="17">
        <v>351360490</v>
      </c>
      <c r="M17" s="17">
        <v>412392620</v>
      </c>
      <c r="N17" s="17">
        <v>213376920</v>
      </c>
      <c r="O17" s="17">
        <v>146384420</v>
      </c>
      <c r="P17" s="17">
        <v>660075660</v>
      </c>
      <c r="Q17" s="17">
        <v>436718720</v>
      </c>
      <c r="R17" s="17">
        <v>112899630</v>
      </c>
      <c r="S17" s="17">
        <v>619289550</v>
      </c>
      <c r="T17" s="17">
        <v>198405510</v>
      </c>
      <c r="U17" s="17">
        <v>1084392819.9999998</v>
      </c>
      <c r="V17" s="17">
        <f t="shared" si="0"/>
        <v>28288158840</v>
      </c>
    </row>
    <row r="18" spans="2:22" ht="15.75" customHeight="1" x14ac:dyDescent="0.3">
      <c r="B18" s="16" t="s">
        <v>46</v>
      </c>
      <c r="C18" s="17">
        <v>597373850.00000012</v>
      </c>
      <c r="D18" s="17">
        <v>57362680.000000007</v>
      </c>
      <c r="E18" s="17">
        <v>5789631870</v>
      </c>
      <c r="F18" s="17">
        <v>370130310</v>
      </c>
      <c r="G18" s="17">
        <v>539320160</v>
      </c>
      <c r="H18" s="17">
        <v>460627120.00000006</v>
      </c>
      <c r="I18" s="17">
        <v>73825517299.999985</v>
      </c>
      <c r="J18" s="17">
        <v>2492092440</v>
      </c>
      <c r="K18" s="17">
        <v>2024458140</v>
      </c>
      <c r="L18" s="17">
        <v>767525810.00000012</v>
      </c>
      <c r="M18" s="17">
        <v>1508723800</v>
      </c>
      <c r="N18" s="17">
        <v>670800860</v>
      </c>
      <c r="O18" s="17">
        <v>2857454940</v>
      </c>
      <c r="P18" s="17">
        <v>3012718480</v>
      </c>
      <c r="Q18" s="17">
        <v>2423983640.0000005</v>
      </c>
      <c r="R18" s="17">
        <v>461279870</v>
      </c>
      <c r="S18" s="17">
        <v>1922614760</v>
      </c>
      <c r="T18" s="17">
        <v>255973760</v>
      </c>
      <c r="U18" s="17">
        <v>436998340</v>
      </c>
      <c r="V18" s="17">
        <f t="shared" si="0"/>
        <v>100474588129.99998</v>
      </c>
    </row>
    <row r="19" spans="2:22" ht="15.75" customHeight="1" x14ac:dyDescent="0.3">
      <c r="B19" s="16" t="s">
        <v>47</v>
      </c>
      <c r="C19" s="17">
        <v>1647102849.9999998</v>
      </c>
      <c r="D19" s="17">
        <v>268799660</v>
      </c>
      <c r="E19" s="17">
        <v>50030903120</v>
      </c>
      <c r="F19" s="17">
        <v>3417199470</v>
      </c>
      <c r="G19" s="17">
        <v>3046358510</v>
      </c>
      <c r="H19" s="17">
        <v>1844724150.0000002</v>
      </c>
      <c r="I19" s="17">
        <v>6099821640</v>
      </c>
      <c r="J19" s="17">
        <v>15859142390.000002</v>
      </c>
      <c r="K19" s="17">
        <v>6681241960</v>
      </c>
      <c r="L19" s="17">
        <v>3335318140</v>
      </c>
      <c r="M19" s="17">
        <v>4347654050</v>
      </c>
      <c r="N19" s="17">
        <v>1726727500.0000002</v>
      </c>
      <c r="O19" s="17">
        <v>749133420</v>
      </c>
      <c r="P19" s="17">
        <v>10038114870</v>
      </c>
      <c r="Q19" s="17">
        <v>653703699.99999988</v>
      </c>
      <c r="R19" s="17">
        <v>273220500</v>
      </c>
      <c r="S19" s="17">
        <v>2914296070</v>
      </c>
      <c r="T19" s="17">
        <v>864142920</v>
      </c>
      <c r="U19" s="17">
        <v>658463070</v>
      </c>
      <c r="V19" s="17">
        <f t="shared" si="0"/>
        <v>114456067990</v>
      </c>
    </row>
    <row r="20" spans="2:22" ht="15.75" customHeight="1" x14ac:dyDescent="0.3">
      <c r="B20" s="16" t="s">
        <v>48</v>
      </c>
      <c r="C20" s="17">
        <v>971638249.99999988</v>
      </c>
      <c r="D20" s="17">
        <v>380600510</v>
      </c>
      <c r="E20" s="17">
        <v>28756249850</v>
      </c>
      <c r="F20" s="17">
        <v>1964370250</v>
      </c>
      <c r="G20" s="17">
        <v>4027904990</v>
      </c>
      <c r="H20" s="17">
        <v>1013337910.0000001</v>
      </c>
      <c r="I20" s="17">
        <v>4986941680</v>
      </c>
      <c r="J20" s="17">
        <v>19889403840</v>
      </c>
      <c r="K20" s="17">
        <v>33954954970</v>
      </c>
      <c r="L20" s="17">
        <v>1410867769.9999998</v>
      </c>
      <c r="M20" s="17">
        <v>3670724600</v>
      </c>
      <c r="N20" s="17">
        <v>1710113850.0000002</v>
      </c>
      <c r="O20" s="17">
        <v>416537060</v>
      </c>
      <c r="P20" s="17">
        <v>6148609700</v>
      </c>
      <c r="Q20" s="17">
        <v>1980176029.9999998</v>
      </c>
      <c r="R20" s="17">
        <v>473477589.99999988</v>
      </c>
      <c r="S20" s="17">
        <v>978648849.99999976</v>
      </c>
      <c r="T20" s="17">
        <v>673927750</v>
      </c>
      <c r="U20" s="17">
        <v>640731420</v>
      </c>
      <c r="V20" s="17">
        <f t="shared" si="0"/>
        <v>114049216870</v>
      </c>
    </row>
    <row r="21" spans="2:22" ht="15.75" customHeight="1" x14ac:dyDescent="0.3">
      <c r="B21" s="16" t="s">
        <v>49</v>
      </c>
      <c r="C21" s="17">
        <v>42740629.999999993</v>
      </c>
      <c r="D21" s="17">
        <v>32319490</v>
      </c>
      <c r="E21" s="17">
        <v>3588857550.0000005</v>
      </c>
      <c r="F21" s="17">
        <v>80690760</v>
      </c>
      <c r="G21" s="17">
        <v>604307150.00000012</v>
      </c>
      <c r="H21" s="17">
        <v>32304980</v>
      </c>
      <c r="I21" s="17">
        <v>2689837460</v>
      </c>
      <c r="J21" s="17">
        <v>2659296419.9999995</v>
      </c>
      <c r="K21" s="17">
        <v>825985370.00000012</v>
      </c>
      <c r="L21" s="17">
        <v>619536740</v>
      </c>
      <c r="M21" s="17">
        <v>1107520930</v>
      </c>
      <c r="N21" s="17">
        <v>265683849.99999994</v>
      </c>
      <c r="O21" s="17">
        <v>337978020</v>
      </c>
      <c r="P21" s="17">
        <v>2988213120</v>
      </c>
      <c r="Q21" s="17">
        <v>419467060</v>
      </c>
      <c r="R21" s="17">
        <v>203681339.99999997</v>
      </c>
      <c r="S21" s="17">
        <v>1606597000</v>
      </c>
      <c r="T21" s="17">
        <v>426091669.99999994</v>
      </c>
      <c r="U21" s="17">
        <v>280716880</v>
      </c>
      <c r="V21" s="17">
        <f t="shared" si="0"/>
        <v>18811826420</v>
      </c>
    </row>
    <row r="22" spans="2:22" ht="15.75" customHeight="1" x14ac:dyDescent="0.3">
      <c r="B22" s="16" t="s">
        <v>50</v>
      </c>
      <c r="C22" s="17">
        <v>78204379.999999985</v>
      </c>
      <c r="D22" s="17">
        <v>122660980</v>
      </c>
      <c r="E22" s="17">
        <v>9989719270.0000019</v>
      </c>
      <c r="F22" s="17">
        <v>278665170</v>
      </c>
      <c r="G22" s="17">
        <v>1667742360</v>
      </c>
      <c r="H22" s="17">
        <v>1231783710</v>
      </c>
      <c r="I22" s="17">
        <v>3474933260.0000005</v>
      </c>
      <c r="J22" s="17">
        <v>8868263170.0000019</v>
      </c>
      <c r="K22" s="17">
        <v>2301755150</v>
      </c>
      <c r="L22" s="17">
        <v>1559660870</v>
      </c>
      <c r="M22" s="17">
        <v>13300235379.999998</v>
      </c>
      <c r="N22" s="17">
        <v>5277122450.000001</v>
      </c>
      <c r="O22" s="17">
        <v>804125309.99999988</v>
      </c>
      <c r="P22" s="17">
        <v>14709841209.999998</v>
      </c>
      <c r="Q22" s="17">
        <v>2239601160</v>
      </c>
      <c r="R22" s="17">
        <v>614641099.99999988</v>
      </c>
      <c r="S22" s="17">
        <v>1566782220</v>
      </c>
      <c r="T22" s="17">
        <v>1759201900</v>
      </c>
      <c r="U22" s="17">
        <v>872227850</v>
      </c>
      <c r="V22" s="17">
        <f t="shared" si="0"/>
        <v>70717166900</v>
      </c>
    </row>
    <row r="23" spans="2:22" ht="15.75" customHeight="1" x14ac:dyDescent="0.3">
      <c r="B23" s="16" t="s">
        <v>51</v>
      </c>
      <c r="C23" s="17">
        <v>695023790</v>
      </c>
      <c r="D23" s="17">
        <v>93486150</v>
      </c>
      <c r="E23" s="17">
        <v>14908375039.999998</v>
      </c>
      <c r="F23" s="17">
        <v>322687179.99999994</v>
      </c>
      <c r="G23" s="17">
        <v>930862950.00000012</v>
      </c>
      <c r="H23" s="17">
        <v>618147679.99999988</v>
      </c>
      <c r="I23" s="17">
        <v>6548307699.999999</v>
      </c>
      <c r="J23" s="17">
        <v>15205904190.000002</v>
      </c>
      <c r="K23" s="17">
        <v>2811624360</v>
      </c>
      <c r="L23" s="17">
        <v>2545630090</v>
      </c>
      <c r="M23" s="17">
        <v>2778749380</v>
      </c>
      <c r="N23" s="17">
        <v>23439398790.000004</v>
      </c>
      <c r="O23" s="17">
        <v>9720820960</v>
      </c>
      <c r="P23" s="17">
        <v>6376081950</v>
      </c>
      <c r="Q23" s="17">
        <v>4055005489.999999</v>
      </c>
      <c r="R23" s="17">
        <v>450512150</v>
      </c>
      <c r="S23" s="17">
        <v>1684175089.9999998</v>
      </c>
      <c r="T23" s="17">
        <v>987415459.99999988</v>
      </c>
      <c r="U23" s="17">
        <v>1000205240</v>
      </c>
      <c r="V23" s="17">
        <f t="shared" si="0"/>
        <v>95172413640</v>
      </c>
    </row>
    <row r="24" spans="2:22" ht="15.75" customHeight="1" x14ac:dyDescent="0.3">
      <c r="B24" s="16" t="s">
        <v>52</v>
      </c>
      <c r="C24" s="17">
        <v>35975309.999999993</v>
      </c>
      <c r="D24" s="17">
        <v>27540300.000000004</v>
      </c>
      <c r="E24" s="17">
        <v>7756784699.999999</v>
      </c>
      <c r="F24" s="17">
        <v>35074480</v>
      </c>
      <c r="G24" s="17">
        <v>738045380</v>
      </c>
      <c r="H24" s="17">
        <v>271673190.00000006</v>
      </c>
      <c r="I24" s="17">
        <v>1880799870</v>
      </c>
      <c r="J24" s="17">
        <v>15088674230</v>
      </c>
      <c r="K24" s="17">
        <v>3086915370</v>
      </c>
      <c r="L24" s="17">
        <v>4787403600</v>
      </c>
      <c r="M24" s="17">
        <v>2578127990</v>
      </c>
      <c r="N24" s="17">
        <v>3636796110</v>
      </c>
      <c r="O24" s="17">
        <v>1487801010</v>
      </c>
      <c r="P24" s="17">
        <v>4618181660</v>
      </c>
      <c r="Q24" s="17">
        <v>1384626730</v>
      </c>
      <c r="R24" s="17">
        <v>691670460</v>
      </c>
      <c r="S24" s="17">
        <v>1497652450</v>
      </c>
      <c r="T24" s="17">
        <v>903518410</v>
      </c>
      <c r="U24" s="17">
        <v>1102959780</v>
      </c>
      <c r="V24" s="17">
        <f t="shared" si="0"/>
        <v>51610221030</v>
      </c>
    </row>
    <row r="25" spans="2:22" ht="15.75" customHeight="1" x14ac:dyDescent="0.3">
      <c r="B25" s="16" t="s">
        <v>67</v>
      </c>
      <c r="C25" s="17">
        <v>669636060.00000012</v>
      </c>
      <c r="D25" s="17">
        <v>488446190</v>
      </c>
      <c r="E25" s="17">
        <v>38607754700</v>
      </c>
      <c r="F25" s="17">
        <v>1340603189.9999998</v>
      </c>
      <c r="G25" s="17">
        <v>1878010920.0000002</v>
      </c>
      <c r="H25" s="17">
        <v>4939410959.999999</v>
      </c>
      <c r="I25" s="17">
        <v>17369525360</v>
      </c>
      <c r="J25" s="17">
        <v>30204657090</v>
      </c>
      <c r="K25" s="17">
        <v>9138654639.9999981</v>
      </c>
      <c r="L25" s="17">
        <v>6189087220</v>
      </c>
      <c r="M25" s="17">
        <v>15942225350</v>
      </c>
      <c r="N25" s="17">
        <v>7396899180</v>
      </c>
      <c r="O25" s="17">
        <v>7538299390</v>
      </c>
      <c r="P25" s="17">
        <v>35123111509.999992</v>
      </c>
      <c r="Q25" s="17">
        <v>7829860160</v>
      </c>
      <c r="R25" s="17">
        <v>4207356340.0000005</v>
      </c>
      <c r="S25" s="17">
        <v>10244384900</v>
      </c>
      <c r="T25" s="17">
        <v>5322858380.000001</v>
      </c>
      <c r="U25" s="17">
        <v>3505705840.0000005</v>
      </c>
      <c r="V25" s="17">
        <f t="shared" si="0"/>
        <v>207936487380</v>
      </c>
    </row>
    <row r="26" spans="2:22" ht="15.75" customHeight="1" x14ac:dyDescent="0.3">
      <c r="B26" s="16" t="s">
        <v>54</v>
      </c>
      <c r="C26" s="17">
        <v>1498190</v>
      </c>
      <c r="D26" s="17">
        <v>2462800</v>
      </c>
      <c r="E26" s="17">
        <v>846825800</v>
      </c>
      <c r="F26" s="17">
        <v>49542830</v>
      </c>
      <c r="G26" s="17">
        <v>43544039.999999993</v>
      </c>
      <c r="H26" s="17">
        <v>30237900.000000004</v>
      </c>
      <c r="I26" s="17">
        <v>74906790</v>
      </c>
      <c r="J26" s="17">
        <v>816534370</v>
      </c>
      <c r="K26" s="17">
        <v>121176680</v>
      </c>
      <c r="L26" s="17">
        <v>65768550.000000007</v>
      </c>
      <c r="M26" s="17">
        <v>209097610.00000003</v>
      </c>
      <c r="N26" s="17">
        <v>97112830</v>
      </c>
      <c r="O26" s="17">
        <v>71592210</v>
      </c>
      <c r="P26" s="17">
        <v>422117870.00000006</v>
      </c>
      <c r="Q26" s="17">
        <v>266782260</v>
      </c>
      <c r="R26" s="17">
        <v>69112690</v>
      </c>
      <c r="S26" s="17">
        <v>128508500</v>
      </c>
      <c r="T26" s="17">
        <v>96940300.000000015</v>
      </c>
      <c r="U26" s="17">
        <v>35718990</v>
      </c>
      <c r="V26" s="17">
        <f t="shared" si="0"/>
        <v>3449481210</v>
      </c>
    </row>
    <row r="27" spans="2:22" ht="15.75" customHeight="1" x14ac:dyDescent="0.3">
      <c r="B27" s="16" t="s">
        <v>55</v>
      </c>
      <c r="C27" s="17">
        <v>4101720.0000000005</v>
      </c>
      <c r="D27" s="17">
        <v>12657610</v>
      </c>
      <c r="E27" s="17">
        <v>604021290</v>
      </c>
      <c r="F27" s="17">
        <v>6546510</v>
      </c>
      <c r="G27" s="17">
        <v>30721060</v>
      </c>
      <c r="H27" s="17">
        <v>95608160</v>
      </c>
      <c r="I27" s="17">
        <v>136442570</v>
      </c>
      <c r="J27" s="17">
        <v>582211030</v>
      </c>
      <c r="K27" s="17">
        <v>142750950.00000003</v>
      </c>
      <c r="L27" s="17">
        <v>52379290.000000007</v>
      </c>
      <c r="M27" s="17">
        <v>319140129.99999994</v>
      </c>
      <c r="N27" s="17">
        <v>51896530</v>
      </c>
      <c r="O27" s="17">
        <v>12308110</v>
      </c>
      <c r="P27" s="17">
        <v>423071709.99999994</v>
      </c>
      <c r="Q27" s="17">
        <v>887216810</v>
      </c>
      <c r="R27" s="17">
        <v>372709300</v>
      </c>
      <c r="S27" s="17">
        <v>360212520</v>
      </c>
      <c r="T27" s="17">
        <v>119536149.99999999</v>
      </c>
      <c r="U27" s="17">
        <v>270971760</v>
      </c>
      <c r="V27" s="17">
        <f t="shared" si="0"/>
        <v>4484503210</v>
      </c>
    </row>
    <row r="28" spans="2:22" ht="15.75" customHeight="1" x14ac:dyDescent="0.3">
      <c r="B28" s="16" t="s">
        <v>56</v>
      </c>
      <c r="C28" s="17">
        <v>2649300</v>
      </c>
      <c r="D28" s="17">
        <v>4481960</v>
      </c>
      <c r="E28" s="17">
        <v>323393149.99999994</v>
      </c>
      <c r="F28" s="17">
        <v>14492430</v>
      </c>
      <c r="G28" s="17">
        <v>23285330</v>
      </c>
      <c r="H28" s="17">
        <v>28721310</v>
      </c>
      <c r="I28" s="17">
        <v>83336790.000000015</v>
      </c>
      <c r="J28" s="17">
        <v>113327959.99999997</v>
      </c>
      <c r="K28" s="17">
        <v>53767290</v>
      </c>
      <c r="L28" s="17">
        <v>29042050</v>
      </c>
      <c r="M28" s="17">
        <v>85598130.000000015</v>
      </c>
      <c r="N28" s="17">
        <v>33047340.000000004</v>
      </c>
      <c r="O28" s="17">
        <v>12618010</v>
      </c>
      <c r="P28" s="17">
        <v>239643509.99999997</v>
      </c>
      <c r="Q28" s="17">
        <v>697535079.99999988</v>
      </c>
      <c r="R28" s="17">
        <v>152126890</v>
      </c>
      <c r="S28" s="17">
        <v>11162182220</v>
      </c>
      <c r="T28" s="17">
        <v>42603950</v>
      </c>
      <c r="U28" s="17">
        <v>35700330.000000007</v>
      </c>
      <c r="V28" s="17">
        <f t="shared" si="0"/>
        <v>13137553030</v>
      </c>
    </row>
    <row r="29" spans="2:22" ht="15.75" customHeight="1" x14ac:dyDescent="0.3">
      <c r="B29" s="16" t="s">
        <v>57</v>
      </c>
      <c r="C29" s="17">
        <v>17775270.000000004</v>
      </c>
      <c r="D29" s="17">
        <v>37065979.999999993</v>
      </c>
      <c r="E29" s="17">
        <v>2345173650</v>
      </c>
      <c r="F29" s="17">
        <v>52431029.999999993</v>
      </c>
      <c r="G29" s="17">
        <v>140369440</v>
      </c>
      <c r="H29" s="17">
        <v>46939960.000000007</v>
      </c>
      <c r="I29" s="17">
        <v>642707080</v>
      </c>
      <c r="J29" s="17">
        <v>1551004690</v>
      </c>
      <c r="K29" s="17">
        <v>307859120</v>
      </c>
      <c r="L29" s="17">
        <v>208362210</v>
      </c>
      <c r="M29" s="17">
        <v>1836806220</v>
      </c>
      <c r="N29" s="17">
        <v>83437630</v>
      </c>
      <c r="O29" s="17">
        <v>167925850</v>
      </c>
      <c r="P29" s="17">
        <v>1168457939.9999998</v>
      </c>
      <c r="Q29" s="17">
        <v>498202830</v>
      </c>
      <c r="R29" s="17">
        <v>40661790</v>
      </c>
      <c r="S29" s="17">
        <v>139644440.00000003</v>
      </c>
      <c r="T29" s="17">
        <v>7700223030</v>
      </c>
      <c r="U29" s="17">
        <v>226111150</v>
      </c>
      <c r="V29" s="17">
        <f t="shared" si="0"/>
        <v>17211159310</v>
      </c>
    </row>
    <row r="30" spans="2:22" ht="15.75" customHeight="1" x14ac:dyDescent="0.3">
      <c r="B30" s="16" t="s">
        <v>68</v>
      </c>
      <c r="C30" s="17">
        <v>224841999.99999997</v>
      </c>
      <c r="D30" s="17">
        <v>10011990</v>
      </c>
      <c r="E30" s="17">
        <v>1242082510.0000002</v>
      </c>
      <c r="F30" s="17">
        <v>39769720</v>
      </c>
      <c r="G30" s="17">
        <v>288870730.00000006</v>
      </c>
      <c r="H30" s="17">
        <v>53398090</v>
      </c>
      <c r="I30" s="17">
        <v>1045279600.0000001</v>
      </c>
      <c r="J30" s="17">
        <v>786492240</v>
      </c>
      <c r="K30" s="17">
        <v>212432260</v>
      </c>
      <c r="L30" s="17">
        <v>198650179.99999997</v>
      </c>
      <c r="M30" s="17">
        <v>445954180</v>
      </c>
      <c r="N30" s="17">
        <v>72562930</v>
      </c>
      <c r="O30" s="17">
        <v>90249519.999999985</v>
      </c>
      <c r="P30" s="17">
        <v>665903049.99999988</v>
      </c>
      <c r="Q30" s="17">
        <v>106077240</v>
      </c>
      <c r="R30" s="17">
        <v>41834600</v>
      </c>
      <c r="S30" s="17">
        <v>1433332659.9999998</v>
      </c>
      <c r="T30" s="17">
        <v>210206890.00000003</v>
      </c>
      <c r="U30" s="17">
        <v>266421890.00000003</v>
      </c>
      <c r="V30" s="17">
        <f t="shared" si="0"/>
        <v>7434372280</v>
      </c>
    </row>
    <row r="31" spans="2:22" ht="15.75" customHeight="1" x14ac:dyDescent="0.3">
      <c r="B31" s="16" t="s">
        <v>70</v>
      </c>
      <c r="C31" s="17">
        <f t="shared" ref="C31:V31" si="1">+SUM(C12:C30)</f>
        <v>21255409030</v>
      </c>
      <c r="D31" s="17">
        <f t="shared" si="1"/>
        <v>3168186630</v>
      </c>
      <c r="E31" s="17">
        <f t="shared" si="1"/>
        <v>425386418649.99988</v>
      </c>
      <c r="F31" s="17">
        <f t="shared" si="1"/>
        <v>17647207720</v>
      </c>
      <c r="G31" s="17">
        <f t="shared" si="1"/>
        <v>45707507870</v>
      </c>
      <c r="H31" s="17">
        <f t="shared" si="1"/>
        <v>25639863130</v>
      </c>
      <c r="I31" s="17">
        <f t="shared" si="1"/>
        <v>162418044390</v>
      </c>
      <c r="J31" s="17">
        <f t="shared" si="1"/>
        <v>143609839570</v>
      </c>
      <c r="K31" s="17">
        <f t="shared" si="1"/>
        <v>82181737440</v>
      </c>
      <c r="L31" s="17">
        <f t="shared" si="1"/>
        <v>43309653920</v>
      </c>
      <c r="M31" s="17">
        <f t="shared" si="1"/>
        <v>58285136480</v>
      </c>
      <c r="N31" s="17">
        <f t="shared" si="1"/>
        <v>47911509510</v>
      </c>
      <c r="O31" s="17">
        <f t="shared" si="1"/>
        <v>27852482430</v>
      </c>
      <c r="P31" s="17">
        <f t="shared" si="1"/>
        <v>108476518730</v>
      </c>
      <c r="Q31" s="17">
        <f t="shared" si="1"/>
        <v>27866870860</v>
      </c>
      <c r="R31" s="17">
        <f t="shared" si="1"/>
        <v>9458998270</v>
      </c>
      <c r="S31" s="17">
        <f t="shared" si="1"/>
        <v>45212560060</v>
      </c>
      <c r="T31" s="17">
        <f t="shared" si="1"/>
        <v>22324736600</v>
      </c>
      <c r="U31" s="17">
        <f t="shared" si="1"/>
        <v>14391115580</v>
      </c>
      <c r="V31" s="17">
        <f t="shared" si="1"/>
        <v>1332103796870</v>
      </c>
    </row>
    <row r="32" spans="2:22" ht="15.75" customHeight="1" x14ac:dyDescent="0.25"/>
    <row r="33" spans="2:5" ht="15.75" customHeight="1" x14ac:dyDescent="0.25"/>
    <row r="34" spans="2:5" ht="15.75" customHeight="1" x14ac:dyDescent="0.25">
      <c r="B34" s="15" t="s">
        <v>71</v>
      </c>
      <c r="C34" s="2" t="s">
        <v>72</v>
      </c>
      <c r="D34" s="2" t="s">
        <v>73</v>
      </c>
      <c r="E34" s="2" t="s">
        <v>74</v>
      </c>
    </row>
    <row r="35" spans="2:5" ht="15.75" customHeight="1" x14ac:dyDescent="0.3">
      <c r="B35" s="18" t="s">
        <v>41</v>
      </c>
      <c r="C35" s="14">
        <v>15419332340</v>
      </c>
      <c r="D35" s="19">
        <v>486372190</v>
      </c>
      <c r="E35" s="19">
        <v>274274059.99999994</v>
      </c>
    </row>
    <row r="36" spans="2:5" ht="15.75" customHeight="1" x14ac:dyDescent="0.3">
      <c r="B36" s="18" t="s">
        <v>42</v>
      </c>
      <c r="C36" s="14">
        <v>1825429129.9999986</v>
      </c>
      <c r="D36" s="14">
        <v>5458640</v>
      </c>
      <c r="E36" s="19">
        <v>281053060</v>
      </c>
    </row>
    <row r="37" spans="2:5" ht="15.75" customHeight="1" x14ac:dyDescent="0.3">
      <c r="B37" s="18" t="s">
        <v>43</v>
      </c>
      <c r="C37" s="19">
        <v>115708061469.99995</v>
      </c>
      <c r="D37" s="19">
        <v>1871737140.0000012</v>
      </c>
      <c r="E37" s="19">
        <v>71721873020</v>
      </c>
    </row>
    <row r="38" spans="2:5" ht="15.75" customHeight="1" x14ac:dyDescent="0.3">
      <c r="B38" s="18" t="s">
        <v>66</v>
      </c>
      <c r="C38" s="14">
        <v>14862590840</v>
      </c>
      <c r="D38" s="14">
        <v>11722420</v>
      </c>
      <c r="E38" s="19">
        <v>195751980</v>
      </c>
    </row>
    <row r="39" spans="2:5" ht="15.75" customHeight="1" x14ac:dyDescent="0.3">
      <c r="B39" s="18" t="s">
        <v>44</v>
      </c>
      <c r="C39" s="14">
        <v>17040212319.999998</v>
      </c>
      <c r="D39" s="19">
        <v>107494490</v>
      </c>
      <c r="E39" s="19">
        <v>1443484050</v>
      </c>
    </row>
    <row r="40" spans="2:5" ht="15.75" customHeight="1" x14ac:dyDescent="0.3">
      <c r="B40" s="18" t="s">
        <v>45</v>
      </c>
      <c r="C40" s="14">
        <v>10730869290</v>
      </c>
      <c r="D40" s="19">
        <v>354256570</v>
      </c>
      <c r="E40" s="19">
        <v>281874400</v>
      </c>
    </row>
    <row r="41" spans="2:5" ht="15.75" customHeight="1" x14ac:dyDescent="0.3">
      <c r="B41" s="18" t="s">
        <v>46</v>
      </c>
      <c r="C41" s="14">
        <v>9593419750</v>
      </c>
      <c r="D41" s="19">
        <v>1338858650</v>
      </c>
      <c r="E41" s="19">
        <v>141487539630</v>
      </c>
    </row>
    <row r="42" spans="2:5" ht="15.75" customHeight="1" x14ac:dyDescent="0.3">
      <c r="B42" s="18" t="s">
        <v>47</v>
      </c>
      <c r="C42" s="19">
        <v>163363125270</v>
      </c>
      <c r="D42" s="19">
        <v>4333960290</v>
      </c>
      <c r="E42" s="19">
        <v>23006836570</v>
      </c>
    </row>
    <row r="43" spans="2:5" ht="15.75" customHeight="1" x14ac:dyDescent="0.3">
      <c r="B43" s="18" t="s">
        <v>48</v>
      </c>
      <c r="C43" s="14">
        <v>39605789150</v>
      </c>
      <c r="D43" s="19">
        <v>5954159300</v>
      </c>
      <c r="E43" s="19">
        <v>2185474460</v>
      </c>
    </row>
    <row r="44" spans="2:5" ht="15.75" customHeight="1" x14ac:dyDescent="0.3">
      <c r="B44" s="18" t="s">
        <v>49</v>
      </c>
      <c r="C44" s="14">
        <v>78720192840</v>
      </c>
      <c r="D44" s="19">
        <v>814591930</v>
      </c>
      <c r="E44" s="19">
        <v>101210380</v>
      </c>
    </row>
    <row r="45" spans="2:5" ht="15.75" customHeight="1" x14ac:dyDescent="0.3">
      <c r="B45" s="18" t="s">
        <v>50</v>
      </c>
      <c r="C45" s="14">
        <v>30596673840</v>
      </c>
      <c r="D45" s="19">
        <v>706860910.00000012</v>
      </c>
      <c r="E45" s="19">
        <v>17621057100</v>
      </c>
    </row>
    <row r="46" spans="2:5" ht="15.75" customHeight="1" x14ac:dyDescent="0.3">
      <c r="B46" s="18" t="s">
        <v>51</v>
      </c>
      <c r="C46" s="14">
        <v>32062650650.000004</v>
      </c>
      <c r="D46" s="14">
        <v>38200230</v>
      </c>
      <c r="E46" s="19">
        <v>966912719.99999988</v>
      </c>
    </row>
    <row r="47" spans="2:5" ht="15.75" customHeight="1" x14ac:dyDescent="0.3">
      <c r="B47" s="18" t="s">
        <v>52</v>
      </c>
      <c r="C47" s="14">
        <v>153589270529.99997</v>
      </c>
      <c r="D47" s="19">
        <v>1384089890</v>
      </c>
      <c r="E47" s="19">
        <v>10337624910</v>
      </c>
    </row>
    <row r="48" spans="2:5" ht="15.75" customHeight="1" x14ac:dyDescent="0.3">
      <c r="B48" s="18" t="s">
        <v>67</v>
      </c>
      <c r="C48" s="19">
        <v>18825724019.999996</v>
      </c>
      <c r="D48" s="19">
        <v>3186967129.9999995</v>
      </c>
      <c r="E48" s="19">
        <v>13834440630.000002</v>
      </c>
    </row>
    <row r="49" spans="2:5" ht="15.75" customHeight="1" x14ac:dyDescent="0.3">
      <c r="B49" s="18" t="s">
        <v>54</v>
      </c>
      <c r="C49" s="14">
        <v>1657450250</v>
      </c>
      <c r="D49" s="19">
        <v>130983782770</v>
      </c>
      <c r="E49" s="19">
        <v>353083870</v>
      </c>
    </row>
    <row r="50" spans="2:5" ht="15.75" customHeight="1" x14ac:dyDescent="0.3">
      <c r="B50" s="18" t="s">
        <v>55</v>
      </c>
      <c r="C50" s="14">
        <v>11960414790</v>
      </c>
      <c r="D50" s="19">
        <v>57901815290</v>
      </c>
      <c r="E50" s="14">
        <v>95459970</v>
      </c>
    </row>
    <row r="51" spans="2:5" ht="15.75" customHeight="1" x14ac:dyDescent="0.3">
      <c r="B51" s="18" t="s">
        <v>56</v>
      </c>
      <c r="C51" s="14">
        <v>21849728669.999996</v>
      </c>
      <c r="D51" s="19">
        <v>106124547180</v>
      </c>
      <c r="E51" s="19">
        <v>895528460</v>
      </c>
    </row>
    <row r="52" spans="2:5" ht="15.75" customHeight="1" x14ac:dyDescent="0.3">
      <c r="B52" s="18" t="s">
        <v>57</v>
      </c>
      <c r="C52" s="14">
        <v>17685134130</v>
      </c>
      <c r="D52" s="19">
        <v>5401586650</v>
      </c>
      <c r="E52" s="19">
        <v>473056730.00000006</v>
      </c>
    </row>
    <row r="53" spans="2:5" ht="15.75" customHeight="1" x14ac:dyDescent="0.3">
      <c r="B53" s="18" t="s">
        <v>68</v>
      </c>
      <c r="C53" s="14">
        <v>46647947070</v>
      </c>
      <c r="D53" s="19">
        <v>1450975429.9999998</v>
      </c>
      <c r="E53" s="19">
        <v>406503299.99999994</v>
      </c>
    </row>
    <row r="54" spans="2:5" ht="15.75" customHeight="1" x14ac:dyDescent="0.3">
      <c r="B54" s="18" t="s">
        <v>75</v>
      </c>
      <c r="C54" s="19">
        <v>801744016349.99988</v>
      </c>
      <c r="D54" s="19">
        <v>322457437100</v>
      </c>
      <c r="E54" s="19">
        <v>285963039300</v>
      </c>
    </row>
    <row r="55" spans="2:5" ht="15.75" customHeight="1" x14ac:dyDescent="0.25"/>
    <row r="56" spans="2:5" ht="15.75" customHeight="1" x14ac:dyDescent="0.3">
      <c r="B56" s="18" t="s">
        <v>76</v>
      </c>
    </row>
    <row r="57" spans="2:5" ht="15.75" customHeight="1" x14ac:dyDescent="0.3">
      <c r="C57" s="20">
        <v>2020</v>
      </c>
      <c r="D57" s="19">
        <v>2021</v>
      </c>
    </row>
    <row r="58" spans="2:5" ht="15.75" customHeight="1" x14ac:dyDescent="0.3">
      <c r="B58" s="18" t="s">
        <v>14</v>
      </c>
      <c r="C58" s="20">
        <v>-8.7999999999999995E-2</v>
      </c>
      <c r="D58" s="19">
        <v>4.5999999999999999E-2</v>
      </c>
    </row>
    <row r="59" spans="2:5" ht="15.75" customHeight="1" x14ac:dyDescent="0.3">
      <c r="B59" s="20" t="s">
        <v>18</v>
      </c>
      <c r="C59" s="20">
        <v>-0.124</v>
      </c>
      <c r="D59" s="19">
        <v>3.2000000000000001E-2</v>
      </c>
    </row>
    <row r="60" spans="2:5" ht="15.75" customHeight="1" x14ac:dyDescent="0.3">
      <c r="B60" s="18" t="s">
        <v>77</v>
      </c>
      <c r="C60" s="20">
        <v>-0.154</v>
      </c>
      <c r="D60" s="20">
        <v>0.08</v>
      </c>
    </row>
    <row r="61" spans="2:5" ht="15.75" customHeight="1" x14ac:dyDescent="0.3">
      <c r="B61" s="20" t="s">
        <v>78</v>
      </c>
      <c r="C61" s="20">
        <v>-0.17299999999999999</v>
      </c>
      <c r="D61" s="19">
        <v>9.7000000000000003E-2</v>
      </c>
    </row>
    <row r="62" spans="2:5" ht="15.75" customHeight="1" x14ac:dyDescent="0.25"/>
    <row r="63" spans="2:5" ht="15.75" customHeight="1" x14ac:dyDescent="0.25"/>
    <row r="64" spans="2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/>
  </sheetViews>
  <sheetFormatPr defaultColWidth="12.59765625" defaultRowHeight="15" customHeight="1" x14ac:dyDescent="0.25"/>
  <cols>
    <col min="1" max="1" width="17.8984375" customWidth="1"/>
    <col min="2" max="26" width="5.69921875" customWidth="1"/>
  </cols>
  <sheetData>
    <row r="1" spans="1:20" ht="14.4" x14ac:dyDescent="0.3">
      <c r="A1" s="7" t="s">
        <v>79</v>
      </c>
      <c r="B1" s="7">
        <v>1.5299999999999999E-2</v>
      </c>
    </row>
    <row r="3" spans="1:20" ht="14.4" x14ac:dyDescent="0.3">
      <c r="A3" s="1" t="s">
        <v>80</v>
      </c>
      <c r="B3" s="16" t="s">
        <v>41</v>
      </c>
      <c r="C3" s="16" t="s">
        <v>42</v>
      </c>
      <c r="D3" s="16" t="s">
        <v>43</v>
      </c>
      <c r="E3" s="16" t="s">
        <v>66</v>
      </c>
      <c r="F3" s="16" t="s">
        <v>44</v>
      </c>
      <c r="G3" s="16" t="s">
        <v>45</v>
      </c>
      <c r="H3" s="16" t="s">
        <v>46</v>
      </c>
      <c r="I3" s="16" t="s">
        <v>47</v>
      </c>
      <c r="J3" s="16" t="s">
        <v>48</v>
      </c>
      <c r="K3" s="16" t="s">
        <v>49</v>
      </c>
      <c r="L3" s="16" t="s">
        <v>50</v>
      </c>
      <c r="M3" s="16" t="s">
        <v>51</v>
      </c>
      <c r="N3" s="16" t="s">
        <v>52</v>
      </c>
      <c r="O3" s="16" t="s">
        <v>53</v>
      </c>
      <c r="P3" s="16" t="s">
        <v>54</v>
      </c>
      <c r="Q3" s="16" t="s">
        <v>55</v>
      </c>
      <c r="R3" s="16" t="s">
        <v>56</v>
      </c>
      <c r="S3" s="16" t="s">
        <v>57</v>
      </c>
      <c r="T3" s="16" t="s">
        <v>81</v>
      </c>
    </row>
    <row r="4" spans="1:20" ht="14.4" x14ac:dyDescent="0.3">
      <c r="B4" s="21">
        <v>0.61</v>
      </c>
      <c r="C4" s="21">
        <v>0.61</v>
      </c>
      <c r="D4" s="21">
        <v>0.246</v>
      </c>
      <c r="E4" s="21">
        <v>0.06</v>
      </c>
      <c r="F4" s="21">
        <v>0.13</v>
      </c>
      <c r="G4" s="21">
        <v>0.17</v>
      </c>
      <c r="H4" s="21">
        <v>0.32</v>
      </c>
      <c r="I4" s="21">
        <v>0.63666666999999999</v>
      </c>
      <c r="J4" s="21">
        <v>0.72250000000000003</v>
      </c>
      <c r="K4" s="21">
        <v>0.4</v>
      </c>
      <c r="L4" s="21">
        <v>0.77</v>
      </c>
      <c r="M4" s="21">
        <v>0.74</v>
      </c>
      <c r="N4" s="21">
        <v>0.61</v>
      </c>
      <c r="O4" s="21">
        <v>1.405</v>
      </c>
      <c r="P4" s="21">
        <v>0</v>
      </c>
      <c r="Q4" s="21">
        <v>0</v>
      </c>
      <c r="R4" s="21">
        <v>0</v>
      </c>
      <c r="S4" s="21">
        <v>0.9</v>
      </c>
      <c r="T4" s="21">
        <v>0.9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2.59765625" defaultRowHeight="15" customHeight="1" x14ac:dyDescent="0.25"/>
  <cols>
    <col min="1" max="26" width="5.699218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000"/>
  <sheetViews>
    <sheetView workbookViewId="0"/>
  </sheetViews>
  <sheetFormatPr defaultColWidth="12.59765625" defaultRowHeight="15" customHeight="1" x14ac:dyDescent="0.25"/>
  <cols>
    <col min="1" max="26" width="5.69921875" customWidth="1"/>
    <col min="27" max="28" width="5.59765625" customWidth="1"/>
    <col min="29" max="29" width="7.59765625" customWidth="1"/>
    <col min="30" max="35" width="5.59765625" customWidth="1"/>
    <col min="36" max="36" width="7.59765625" customWidth="1"/>
    <col min="37" max="54" width="11" customWidth="1"/>
  </cols>
  <sheetData>
    <row r="1" spans="1:54" ht="14.4" x14ac:dyDescent="0.3">
      <c r="A1" s="22" t="s">
        <v>82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7"/>
      <c r="S1" s="7"/>
      <c r="T1" s="7" t="s">
        <v>83</v>
      </c>
    </row>
    <row r="2" spans="1:54" ht="14.4" x14ac:dyDescent="0.3">
      <c r="A2" s="24"/>
      <c r="B2" s="24" t="s">
        <v>84</v>
      </c>
      <c r="C2" s="24" t="s">
        <v>85</v>
      </c>
      <c r="D2" s="24" t="s">
        <v>86</v>
      </c>
      <c r="E2" s="24" t="s">
        <v>87</v>
      </c>
      <c r="F2" s="24" t="s">
        <v>88</v>
      </c>
      <c r="G2" s="24" t="s">
        <v>89</v>
      </c>
      <c r="H2" s="24" t="s">
        <v>90</v>
      </c>
      <c r="I2" s="24" t="s">
        <v>91</v>
      </c>
      <c r="J2" s="24" t="s">
        <v>92</v>
      </c>
      <c r="K2" s="24" t="s">
        <v>93</v>
      </c>
      <c r="L2" s="24" t="s">
        <v>94</v>
      </c>
      <c r="M2" s="24" t="s">
        <v>95</v>
      </c>
      <c r="N2" s="24" t="s">
        <v>96</v>
      </c>
      <c r="O2" s="24" t="s">
        <v>97</v>
      </c>
      <c r="P2" s="24" t="s">
        <v>98</v>
      </c>
      <c r="Q2" s="24" t="s">
        <v>99</v>
      </c>
      <c r="R2" s="16"/>
      <c r="S2" s="16"/>
      <c r="T2" s="24"/>
      <c r="U2" s="24" t="s">
        <v>84</v>
      </c>
      <c r="V2" s="24" t="s">
        <v>85</v>
      </c>
      <c r="W2" s="24" t="s">
        <v>86</v>
      </c>
      <c r="X2" s="24" t="s">
        <v>87</v>
      </c>
      <c r="Y2" s="24" t="s">
        <v>88</v>
      </c>
      <c r="Z2" s="24" t="s">
        <v>89</v>
      </c>
      <c r="AA2" s="24" t="s">
        <v>90</v>
      </c>
      <c r="AB2" s="24" t="s">
        <v>91</v>
      </c>
      <c r="AC2" s="24" t="s">
        <v>92</v>
      </c>
      <c r="AD2" s="24" t="s">
        <v>93</v>
      </c>
      <c r="AE2" s="24" t="s">
        <v>94</v>
      </c>
      <c r="AF2" s="24" t="s">
        <v>95</v>
      </c>
      <c r="AG2" s="24" t="s">
        <v>96</v>
      </c>
      <c r="AH2" s="24" t="s">
        <v>97</v>
      </c>
      <c r="AI2" s="24" t="s">
        <v>98</v>
      </c>
      <c r="AJ2" s="24" t="s">
        <v>99</v>
      </c>
      <c r="AL2" s="24"/>
      <c r="AM2" s="24" t="s">
        <v>84</v>
      </c>
      <c r="AN2" s="24" t="s">
        <v>85</v>
      </c>
      <c r="AO2" s="24" t="s">
        <v>86</v>
      </c>
      <c r="AP2" s="24" t="s">
        <v>87</v>
      </c>
      <c r="AQ2" s="24" t="s">
        <v>88</v>
      </c>
      <c r="AR2" s="24" t="s">
        <v>89</v>
      </c>
      <c r="AS2" s="24" t="s">
        <v>90</v>
      </c>
      <c r="AT2" s="24" t="s">
        <v>91</v>
      </c>
      <c r="AU2" s="24" t="s">
        <v>92</v>
      </c>
      <c r="AV2" s="24" t="s">
        <v>93</v>
      </c>
      <c r="AW2" s="24" t="s">
        <v>94</v>
      </c>
      <c r="AX2" s="24" t="s">
        <v>95</v>
      </c>
      <c r="AY2" s="24" t="s">
        <v>96</v>
      </c>
      <c r="AZ2" s="24" t="s">
        <v>97</v>
      </c>
      <c r="BA2" s="24" t="s">
        <v>98</v>
      </c>
      <c r="BB2" s="24" t="s">
        <v>99</v>
      </c>
    </row>
    <row r="3" spans="1:54" ht="14.4" x14ac:dyDescent="0.3">
      <c r="A3" s="24" t="s">
        <v>100</v>
      </c>
      <c r="B3" s="25">
        <v>0.13395895624170798</v>
      </c>
      <c r="C3" s="25">
        <v>0.12741804045649058</v>
      </c>
      <c r="D3" s="25">
        <v>6.2755908133937111E-3</v>
      </c>
      <c r="E3" s="25">
        <v>4.8449892497554525E-3</v>
      </c>
      <c r="F3" s="25">
        <v>3.58454640390476E-3</v>
      </c>
      <c r="G3" s="25">
        <v>2.9527595165389172E-3</v>
      </c>
      <c r="H3" s="25">
        <v>8.929628245181627E-3</v>
      </c>
      <c r="I3" s="25">
        <v>2.1875039515251498E-3</v>
      </c>
      <c r="J3" s="25">
        <v>2.003766172095633E-3</v>
      </c>
      <c r="K3" s="25">
        <v>9.2034163075515336E-3</v>
      </c>
      <c r="L3" s="25">
        <v>2.9161645723076836E-3</v>
      </c>
      <c r="M3" s="25">
        <v>4.7056951762435425E-3</v>
      </c>
      <c r="N3" s="25">
        <v>4.7602814359712564E-3</v>
      </c>
      <c r="O3" s="25">
        <v>3.8342343652284644E-2</v>
      </c>
      <c r="P3" s="25">
        <v>5.4898606571281297E-3</v>
      </c>
      <c r="Q3" s="25">
        <v>9.7986030545345066E-3</v>
      </c>
      <c r="R3" s="26"/>
      <c r="S3" s="26"/>
      <c r="T3" s="24" t="s">
        <v>100</v>
      </c>
      <c r="U3" s="27">
        <v>0.14742024998426601</v>
      </c>
      <c r="V3" s="27">
        <v>3.7349472436838102E-8</v>
      </c>
      <c r="W3" s="27">
        <v>2.8119123916795499E-9</v>
      </c>
      <c r="X3" s="27">
        <v>2.3207903511169299E-9</v>
      </c>
      <c r="Y3" s="27">
        <v>7.9119151429131297E-10</v>
      </c>
      <c r="Z3" s="27">
        <v>2.9391442982297601E-8</v>
      </c>
      <c r="AA3" s="27">
        <v>8.9281440013982703E-5</v>
      </c>
      <c r="AB3" s="27">
        <v>1.0486863066417E-9</v>
      </c>
      <c r="AC3" s="27">
        <v>3.6879230375783999E-8</v>
      </c>
      <c r="AD3" s="27">
        <v>1.3183101958416501E-13</v>
      </c>
      <c r="AE3" s="27">
        <v>2.5564108046859499E-10</v>
      </c>
      <c r="AF3" s="27">
        <v>8.4601366667441099E-8</v>
      </c>
      <c r="AG3" s="27">
        <v>4.2439381214555599E-13</v>
      </c>
      <c r="AH3" s="27">
        <v>4.9739677751052404E-10</v>
      </c>
      <c r="AI3" s="27">
        <v>6.2700627904453904E-4</v>
      </c>
      <c r="AJ3" s="27">
        <v>7.9478463847970599E-5</v>
      </c>
      <c r="AL3" s="24" t="s">
        <v>100</v>
      </c>
      <c r="AM3" s="27">
        <f t="shared" ref="AM3:BB3" si="0">U3-B3</f>
        <v>1.3461293742558028E-2</v>
      </c>
      <c r="AN3" s="27">
        <f t="shared" si="0"/>
        <v>-0.12741800310701815</v>
      </c>
      <c r="AO3" s="27">
        <f t="shared" si="0"/>
        <v>-6.2755880014813198E-3</v>
      </c>
      <c r="AP3" s="27">
        <f t="shared" si="0"/>
        <v>-4.8449869289651018E-3</v>
      </c>
      <c r="AQ3" s="27">
        <f t="shared" si="0"/>
        <v>-3.5845456127132458E-3</v>
      </c>
      <c r="AR3" s="27">
        <f t="shared" si="0"/>
        <v>-2.9527301250959351E-3</v>
      </c>
      <c r="AS3" s="27">
        <f t="shared" si="0"/>
        <v>-8.840346805167645E-3</v>
      </c>
      <c r="AT3" s="27">
        <f t="shared" si="0"/>
        <v>-2.1875029028388432E-3</v>
      </c>
      <c r="AU3" s="27">
        <f t="shared" si="0"/>
        <v>-2.0037292928652573E-3</v>
      </c>
      <c r="AV3" s="27">
        <f t="shared" si="0"/>
        <v>-9.2034163074197033E-3</v>
      </c>
      <c r="AW3" s="27">
        <f t="shared" si="0"/>
        <v>-2.9161643166666033E-3</v>
      </c>
      <c r="AX3" s="27">
        <f t="shared" si="0"/>
        <v>-4.7056105748768751E-3</v>
      </c>
      <c r="AY3" s="27">
        <f t="shared" si="0"/>
        <v>-4.7602814355468624E-3</v>
      </c>
      <c r="AZ3" s="27">
        <f t="shared" si="0"/>
        <v>-3.8342343154887867E-2</v>
      </c>
      <c r="BA3" s="27">
        <f t="shared" si="0"/>
        <v>-4.8628543780835903E-3</v>
      </c>
      <c r="BB3" s="27">
        <f t="shared" si="0"/>
        <v>-9.7191245906865353E-3</v>
      </c>
    </row>
    <row r="4" spans="1:54" ht="14.4" x14ac:dyDescent="0.3">
      <c r="A4" s="24" t="s">
        <v>101</v>
      </c>
      <c r="B4" s="25">
        <v>1.0076133732699773E-3</v>
      </c>
      <c r="C4" s="25">
        <v>1.0829668515174547E-3</v>
      </c>
      <c r="D4" s="25">
        <v>8.6567430317895783E-4</v>
      </c>
      <c r="E4" s="25">
        <v>1.5743854439692194E-3</v>
      </c>
      <c r="F4" s="25">
        <v>7.7011200337238064E-3</v>
      </c>
      <c r="G4" s="25">
        <v>5.0599292559007879E-2</v>
      </c>
      <c r="H4" s="25">
        <v>8.5374566984981715E-4</v>
      </c>
      <c r="I4" s="25">
        <v>3.7577614041161276E-4</v>
      </c>
      <c r="J4" s="25">
        <v>5.2857464157650175E-4</v>
      </c>
      <c r="K4" s="25">
        <v>1.5569024749869415E-3</v>
      </c>
      <c r="L4" s="25">
        <v>6.7388736136241619E-4</v>
      </c>
      <c r="M4" s="25">
        <v>3.8135351514434707E-4</v>
      </c>
      <c r="N4" s="25">
        <v>3.1599197892826875E-4</v>
      </c>
      <c r="O4" s="25">
        <v>9.88443363237525E-4</v>
      </c>
      <c r="P4" s="25">
        <v>6.6155061246959176E-4</v>
      </c>
      <c r="Q4" s="25">
        <v>3.0790852125274644E-3</v>
      </c>
      <c r="R4" s="26"/>
      <c r="S4" s="26"/>
      <c r="T4" s="24" t="s">
        <v>101</v>
      </c>
      <c r="U4" s="27">
        <v>6.0297795162608204E-3</v>
      </c>
      <c r="V4" s="27">
        <v>3.4097788205869999E-2</v>
      </c>
      <c r="W4" s="27">
        <v>2.5671043505927399E-3</v>
      </c>
      <c r="X4" s="27">
        <v>2.1187399098189499E-3</v>
      </c>
      <c r="Y4" s="27">
        <v>7.2230955149926799E-4</v>
      </c>
      <c r="Z4" s="27">
        <v>0.20147158190631101</v>
      </c>
      <c r="AA4" s="27">
        <v>1.0931470364809099E-3</v>
      </c>
      <c r="AB4" s="27">
        <v>9.5738657724644895E-4</v>
      </c>
      <c r="AC4" s="27">
        <v>6.7829102378127304E-8</v>
      </c>
      <c r="AD4" s="27">
        <v>1.2035367279542E-7</v>
      </c>
      <c r="AE4" s="27">
        <v>2.33384699965414E-4</v>
      </c>
      <c r="AF4" s="27">
        <v>1.9132087881061199E-2</v>
      </c>
      <c r="AG4" s="27">
        <v>3.8744564188671603E-7</v>
      </c>
      <c r="AH4" s="27">
        <v>4.5409289254399798E-4</v>
      </c>
      <c r="AI4" s="27">
        <v>2.12450469519836E-3</v>
      </c>
      <c r="AJ4" s="27">
        <v>1.3464984655952501E-4</v>
      </c>
      <c r="AL4" s="24" t="s">
        <v>101</v>
      </c>
      <c r="AM4" s="27">
        <f t="shared" ref="AM4:BB4" si="1">U4-B4</f>
        <v>5.0221661429908429E-3</v>
      </c>
      <c r="AN4" s="27">
        <f t="shared" si="1"/>
        <v>3.3014821354352547E-2</v>
      </c>
      <c r="AO4" s="27">
        <f t="shared" si="1"/>
        <v>1.701430047413782E-3</v>
      </c>
      <c r="AP4" s="27">
        <f t="shared" si="1"/>
        <v>5.4435446584973047E-4</v>
      </c>
      <c r="AQ4" s="27">
        <f t="shared" si="1"/>
        <v>-6.9788104822245383E-3</v>
      </c>
      <c r="AR4" s="27">
        <f t="shared" si="1"/>
        <v>0.15087228934730312</v>
      </c>
      <c r="AS4" s="27">
        <f t="shared" si="1"/>
        <v>2.3940136663109276E-4</v>
      </c>
      <c r="AT4" s="27">
        <f t="shared" si="1"/>
        <v>5.8161043683483619E-4</v>
      </c>
      <c r="AU4" s="27">
        <f t="shared" si="1"/>
        <v>-5.2850681247412366E-4</v>
      </c>
      <c r="AV4" s="27">
        <f t="shared" si="1"/>
        <v>-1.5567821213141461E-3</v>
      </c>
      <c r="AW4" s="27">
        <f t="shared" si="1"/>
        <v>-4.4050266139700222E-4</v>
      </c>
      <c r="AX4" s="27">
        <f t="shared" si="1"/>
        <v>1.875073436591685E-2</v>
      </c>
      <c r="AY4" s="27">
        <f t="shared" si="1"/>
        <v>-3.1560453328638205E-4</v>
      </c>
      <c r="AZ4" s="27">
        <f t="shared" si="1"/>
        <v>-5.3435047069352697E-4</v>
      </c>
      <c r="BA4" s="27">
        <f t="shared" si="1"/>
        <v>1.4629540827287681E-3</v>
      </c>
      <c r="BB4" s="27">
        <f t="shared" si="1"/>
        <v>-2.9444353659679396E-3</v>
      </c>
    </row>
    <row r="5" spans="1:54" ht="14.4" x14ac:dyDescent="0.3">
      <c r="A5" s="24" t="s">
        <v>102</v>
      </c>
      <c r="B5" s="25">
        <v>0.449824484816222</v>
      </c>
      <c r="C5" s="25">
        <v>0.45879057494605746</v>
      </c>
      <c r="D5" s="25">
        <v>0.58445644295751553</v>
      </c>
      <c r="E5" s="25">
        <v>0.10826936006269494</v>
      </c>
      <c r="F5" s="25">
        <v>0.11459032223001539</v>
      </c>
      <c r="G5" s="25">
        <v>5.676989420515588E-2</v>
      </c>
      <c r="H5" s="25">
        <v>0.33756505995172853</v>
      </c>
      <c r="I5" s="25">
        <v>0.10794520646922276</v>
      </c>
      <c r="J5" s="25">
        <v>0.32680146620348971</v>
      </c>
      <c r="K5" s="25">
        <v>0.10837562113765592</v>
      </c>
      <c r="L5" s="25">
        <v>0.1302410425600084</v>
      </c>
      <c r="M5" s="25">
        <v>5.7257794818094357E-2</v>
      </c>
      <c r="N5" s="25">
        <v>3.631936341901891E-2</v>
      </c>
      <c r="O5" s="25">
        <v>0.35338010666141867</v>
      </c>
      <c r="P5" s="25">
        <v>6.982427477541138E-2</v>
      </c>
      <c r="Q5" s="25">
        <v>7.9110209948485805E-2</v>
      </c>
      <c r="R5" s="26"/>
      <c r="S5" s="26"/>
      <c r="T5" s="24" t="s">
        <v>102</v>
      </c>
      <c r="U5" s="27">
        <v>0.77105644348882196</v>
      </c>
      <c r="V5" s="27">
        <v>0.53899397855102105</v>
      </c>
      <c r="W5" s="27">
        <v>0.69393777408616997</v>
      </c>
      <c r="X5" s="27">
        <v>1.15698704505597E-4</v>
      </c>
      <c r="Y5" s="27">
        <v>4.4557611993681802E-7</v>
      </c>
      <c r="Z5" s="27">
        <v>5.0396275271005697E-7</v>
      </c>
      <c r="AA5" s="27">
        <v>0.120230188238954</v>
      </c>
      <c r="AB5" s="27">
        <v>0.25527478375809898</v>
      </c>
      <c r="AC5" s="27">
        <v>5.3875813129633601E-6</v>
      </c>
      <c r="AD5" s="27">
        <v>7.4243407737053704E-11</v>
      </c>
      <c r="AE5" s="27">
        <v>4.2472716112393503E-3</v>
      </c>
      <c r="AF5" s="27">
        <v>5.9460422068252401E-5</v>
      </c>
      <c r="AG5" s="27">
        <v>2.3900628953331602E-10</v>
      </c>
      <c r="AH5" s="27">
        <v>2.8011944287690498E-7</v>
      </c>
      <c r="AI5" s="27">
        <v>0.25150154461579299</v>
      </c>
      <c r="AJ5" s="27">
        <v>1.7672244879671901E-2</v>
      </c>
      <c r="AL5" s="24" t="s">
        <v>102</v>
      </c>
      <c r="AM5" s="27">
        <f t="shared" ref="AM5:BB5" si="2">U5-B5</f>
        <v>0.32123195867259996</v>
      </c>
      <c r="AN5" s="27">
        <f t="shared" si="2"/>
        <v>8.0203403604963586E-2</v>
      </c>
      <c r="AO5" s="27">
        <f t="shared" si="2"/>
        <v>0.10948133112865444</v>
      </c>
      <c r="AP5" s="27">
        <f t="shared" si="2"/>
        <v>-0.10815366135818935</v>
      </c>
      <c r="AQ5" s="27">
        <f t="shared" si="2"/>
        <v>-0.11458987665389546</v>
      </c>
      <c r="AR5" s="27">
        <f t="shared" si="2"/>
        <v>-5.676939024240317E-2</v>
      </c>
      <c r="AS5" s="27">
        <f t="shared" si="2"/>
        <v>-0.21733487171277455</v>
      </c>
      <c r="AT5" s="27">
        <f t="shared" si="2"/>
        <v>0.14732957728887622</v>
      </c>
      <c r="AU5" s="27">
        <f t="shared" si="2"/>
        <v>-0.32679607862217674</v>
      </c>
      <c r="AV5" s="27">
        <f t="shared" si="2"/>
        <v>-0.10837562106341252</v>
      </c>
      <c r="AW5" s="27">
        <f t="shared" si="2"/>
        <v>-0.12599377094876904</v>
      </c>
      <c r="AX5" s="27">
        <f t="shared" si="2"/>
        <v>-5.7198334396026104E-2</v>
      </c>
      <c r="AY5" s="27">
        <f t="shared" si="2"/>
        <v>-3.6319363180012623E-2</v>
      </c>
      <c r="AZ5" s="27">
        <f t="shared" si="2"/>
        <v>-0.35337982654197581</v>
      </c>
      <c r="BA5" s="27">
        <f t="shared" si="2"/>
        <v>0.18167726984038163</v>
      </c>
      <c r="BB5" s="27">
        <f t="shared" si="2"/>
        <v>-6.1437965068813903E-2</v>
      </c>
    </row>
    <row r="6" spans="1:54" ht="14.4" x14ac:dyDescent="0.3">
      <c r="A6" s="24" t="s">
        <v>103</v>
      </c>
      <c r="B6" s="25">
        <v>8.543201248075458E-3</v>
      </c>
      <c r="C6" s="25">
        <v>1.8517659944686158E-3</v>
      </c>
      <c r="D6" s="25">
        <v>1.6701635088494351E-3</v>
      </c>
      <c r="E6" s="25">
        <v>7.1371063038440513E-3</v>
      </c>
      <c r="F6" s="25">
        <v>5.0442401652832605E-2</v>
      </c>
      <c r="G6" s="25">
        <v>5.702307786652365E-2</v>
      </c>
      <c r="H6" s="25">
        <v>7.9798516522179373E-3</v>
      </c>
      <c r="I6" s="25">
        <v>1.520801763252703E-3</v>
      </c>
      <c r="J6" s="25">
        <v>3.2079012024780278E-3</v>
      </c>
      <c r="K6" s="25">
        <v>8.3730830380823337E-2</v>
      </c>
      <c r="L6" s="25">
        <v>2.1511159698209205E-3</v>
      </c>
      <c r="M6" s="25">
        <v>7.9930493557403743E-4</v>
      </c>
      <c r="N6" s="25">
        <v>7.3329413156560694E-4</v>
      </c>
      <c r="O6" s="25">
        <v>5.0586105474274591E-3</v>
      </c>
      <c r="P6" s="25">
        <v>7.4932939204285691E-4</v>
      </c>
      <c r="Q6" s="25">
        <v>6.0890089989403219E-3</v>
      </c>
      <c r="R6" s="26"/>
      <c r="S6" s="26"/>
      <c r="T6" s="24" t="s">
        <v>103</v>
      </c>
      <c r="U6" s="27">
        <v>4.3026192716131197E-3</v>
      </c>
      <c r="V6" s="27">
        <v>2.43308731701249E-2</v>
      </c>
      <c r="W6" s="27">
        <v>1.83178715263399E-3</v>
      </c>
      <c r="X6" s="27">
        <v>1.5118514935643899E-3</v>
      </c>
      <c r="Y6" s="27">
        <v>5.1541237751230498E-4</v>
      </c>
      <c r="Z6" s="27">
        <v>0.33544557533618102</v>
      </c>
      <c r="AA6" s="27">
        <v>7.8002777600501901E-4</v>
      </c>
      <c r="AB6" s="27">
        <v>6.8315432206694099E-4</v>
      </c>
      <c r="AC6" s="27">
        <v>3.63336904637835E-2</v>
      </c>
      <c r="AD6" s="27">
        <v>8.5879762366520694E-8</v>
      </c>
      <c r="AE6" s="27">
        <v>1.6653436581932199E-4</v>
      </c>
      <c r="AF6" s="27">
        <v>3.77407408716104E-5</v>
      </c>
      <c r="AG6" s="27">
        <v>2.76466341926555E-7</v>
      </c>
      <c r="AH6" s="27">
        <v>3.2402326242501298E-4</v>
      </c>
      <c r="AI6" s="27">
        <v>1.5159650231890199E-3</v>
      </c>
      <c r="AJ6" s="27">
        <v>9.6080963352707503E-5</v>
      </c>
      <c r="AL6" s="24" t="s">
        <v>103</v>
      </c>
      <c r="AM6" s="27">
        <f t="shared" ref="AM6:BB6" si="3">U6-B6</f>
        <v>-4.2405819764623383E-3</v>
      </c>
      <c r="AN6" s="27">
        <f t="shared" si="3"/>
        <v>2.2479107175656283E-2</v>
      </c>
      <c r="AO6" s="27">
        <f t="shared" si="3"/>
        <v>1.6162364378455481E-4</v>
      </c>
      <c r="AP6" s="27">
        <f t="shared" si="3"/>
        <v>-5.6252548102796616E-3</v>
      </c>
      <c r="AQ6" s="27">
        <f t="shared" si="3"/>
        <v>-4.9926989275320299E-2</v>
      </c>
      <c r="AR6" s="27">
        <f t="shared" si="3"/>
        <v>0.27842249746965736</v>
      </c>
      <c r="AS6" s="27">
        <f t="shared" si="3"/>
        <v>-7.1998238762129184E-3</v>
      </c>
      <c r="AT6" s="27">
        <f t="shared" si="3"/>
        <v>-8.3764744118576203E-4</v>
      </c>
      <c r="AU6" s="27">
        <f t="shared" si="3"/>
        <v>3.3125789261305473E-2</v>
      </c>
      <c r="AV6" s="27">
        <f t="shared" si="3"/>
        <v>-8.3730744501060966E-2</v>
      </c>
      <c r="AW6" s="27">
        <f t="shared" si="3"/>
        <v>-1.9845816040015983E-3</v>
      </c>
      <c r="AX6" s="27">
        <f t="shared" si="3"/>
        <v>-7.6156419470242709E-4</v>
      </c>
      <c r="AY6" s="27">
        <f t="shared" si="3"/>
        <v>-7.3301766522368037E-4</v>
      </c>
      <c r="AZ6" s="27">
        <f t="shared" si="3"/>
        <v>-4.7345872850024463E-3</v>
      </c>
      <c r="BA6" s="27">
        <f t="shared" si="3"/>
        <v>7.66635631146163E-4</v>
      </c>
      <c r="BB6" s="27">
        <f t="shared" si="3"/>
        <v>-5.9929280355876142E-3</v>
      </c>
    </row>
    <row r="7" spans="1:54" ht="14.4" x14ac:dyDescent="0.3">
      <c r="A7" s="24" t="s">
        <v>104</v>
      </c>
      <c r="B7" s="25">
        <v>9.0518423337639601E-3</v>
      </c>
      <c r="C7" s="25">
        <v>7.7606538084413245E-3</v>
      </c>
      <c r="D7" s="25">
        <v>7.476381239096011E-3</v>
      </c>
      <c r="E7" s="25">
        <v>5.8184337169757466E-3</v>
      </c>
      <c r="F7" s="25">
        <v>3.3136249644891737E-2</v>
      </c>
      <c r="G7" s="25">
        <v>0.26872118023135982</v>
      </c>
      <c r="H7" s="25">
        <v>1.3368825904121083E-2</v>
      </c>
      <c r="I7" s="25">
        <v>6.0860495481597551E-3</v>
      </c>
      <c r="J7" s="25">
        <v>6.6908929740019394E-3</v>
      </c>
      <c r="K7" s="25">
        <v>1.1041889346264457E-2</v>
      </c>
      <c r="L7" s="25">
        <v>7.4958990890012381E-3</v>
      </c>
      <c r="M7" s="25">
        <v>3.9396415784554786E-3</v>
      </c>
      <c r="N7" s="25">
        <v>1.6383663147391425E-2</v>
      </c>
      <c r="O7" s="25">
        <v>9.8093053554591959E-3</v>
      </c>
      <c r="P7" s="25">
        <v>5.288211841345483E-3</v>
      </c>
      <c r="Q7" s="25">
        <v>1.5440458530900973E-2</v>
      </c>
      <c r="R7" s="26"/>
      <c r="S7" s="26"/>
      <c r="T7" s="24" t="s">
        <v>104</v>
      </c>
      <c r="U7" s="27">
        <v>4.6196886392052897E-3</v>
      </c>
      <c r="V7" s="27">
        <v>2.61238681069332E-2</v>
      </c>
      <c r="W7" s="27">
        <v>1.96677553003494E-3</v>
      </c>
      <c r="X7" s="27">
        <v>1.6232631167401399E-3</v>
      </c>
      <c r="Y7" s="27">
        <v>5.5339423606650599E-4</v>
      </c>
      <c r="Z7" s="27">
        <v>0.46306965729609101</v>
      </c>
      <c r="AA7" s="27">
        <v>8.3750971852174499E-4</v>
      </c>
      <c r="AB7" s="27">
        <v>7.3349744916969997E-4</v>
      </c>
      <c r="AC7" s="27">
        <v>5.1966963770184503E-8</v>
      </c>
      <c r="AD7" s="27">
        <v>9.2208428749383699E-8</v>
      </c>
      <c r="AE7" s="27">
        <v>1.7880664526572E-4</v>
      </c>
      <c r="AF7" s="27">
        <v>4.0521938111061801E-5</v>
      </c>
      <c r="AG7" s="27">
        <v>2.9683974767349399E-7</v>
      </c>
      <c r="AH7" s="27">
        <v>3.4790124102750401E-4</v>
      </c>
      <c r="AI7" s="27">
        <v>1.6276797813052099E-3</v>
      </c>
      <c r="AJ7" s="27">
        <v>1.0316137841264001E-4</v>
      </c>
      <c r="AL7" s="24" t="s">
        <v>104</v>
      </c>
      <c r="AM7" s="27">
        <f t="shared" ref="AM7:BB7" si="4">U7-B7</f>
        <v>-4.4321536945586704E-3</v>
      </c>
      <c r="AN7" s="27">
        <f t="shared" si="4"/>
        <v>1.8363214298491876E-2</v>
      </c>
      <c r="AO7" s="27">
        <f t="shared" si="4"/>
        <v>-5.509605709061071E-3</v>
      </c>
      <c r="AP7" s="27">
        <f t="shared" si="4"/>
        <v>-4.1951706002356067E-3</v>
      </c>
      <c r="AQ7" s="27">
        <f t="shared" si="4"/>
        <v>-3.2582855408825231E-2</v>
      </c>
      <c r="AR7" s="27">
        <f t="shared" si="4"/>
        <v>0.19434847706473118</v>
      </c>
      <c r="AS7" s="27">
        <f t="shared" si="4"/>
        <v>-1.2531316185599337E-2</v>
      </c>
      <c r="AT7" s="27">
        <f t="shared" si="4"/>
        <v>-5.3525520989900549E-3</v>
      </c>
      <c r="AU7" s="27">
        <f t="shared" si="4"/>
        <v>-6.690841007038169E-3</v>
      </c>
      <c r="AV7" s="27">
        <f t="shared" si="4"/>
        <v>-1.1041797137835707E-2</v>
      </c>
      <c r="AW7" s="27">
        <f t="shared" si="4"/>
        <v>-7.3170924437355178E-3</v>
      </c>
      <c r="AX7" s="27">
        <f t="shared" si="4"/>
        <v>-3.8991196403444167E-3</v>
      </c>
      <c r="AY7" s="27">
        <f t="shared" si="4"/>
        <v>-1.6383366307643751E-2</v>
      </c>
      <c r="AZ7" s="27">
        <f t="shared" si="4"/>
        <v>-9.4614041144316912E-3</v>
      </c>
      <c r="BA7" s="27">
        <f t="shared" si="4"/>
        <v>-3.6605320600402733E-3</v>
      </c>
      <c r="BB7" s="27">
        <f t="shared" si="4"/>
        <v>-1.5337297152488332E-2</v>
      </c>
    </row>
    <row r="8" spans="1:54" ht="14.4" x14ac:dyDescent="0.3">
      <c r="A8" s="24" t="s">
        <v>105</v>
      </c>
      <c r="B8" s="25">
        <v>9.7120170504898292E-3</v>
      </c>
      <c r="C8" s="25">
        <v>4.852255838652909E-3</v>
      </c>
      <c r="D8" s="25">
        <v>5.9754842846928636E-3</v>
      </c>
      <c r="E8" s="25">
        <v>7.0714800252501568E-3</v>
      </c>
      <c r="F8" s="25">
        <v>0.24250048481093053</v>
      </c>
      <c r="G8" s="25">
        <v>3.9102084361826092E-2</v>
      </c>
      <c r="H8" s="25">
        <v>7.1151147833792422E-3</v>
      </c>
      <c r="I8" s="25">
        <v>2.994443181350003E-3</v>
      </c>
      <c r="J8" s="25">
        <v>4.316316495327684E-3</v>
      </c>
      <c r="K8" s="25">
        <v>5.2345454585845429E-3</v>
      </c>
      <c r="L8" s="25">
        <v>3.6832085922846873E-3</v>
      </c>
      <c r="M8" s="25">
        <v>8.3409960168325196E-3</v>
      </c>
      <c r="N8" s="25">
        <v>1.5731264182886867E-2</v>
      </c>
      <c r="O8" s="25">
        <v>7.424668168549196E-3</v>
      </c>
      <c r="P8" s="25">
        <v>2.5965098209654487E-2</v>
      </c>
      <c r="Q8" s="25">
        <v>7.3516136149178622E-3</v>
      </c>
      <c r="R8" s="26"/>
      <c r="S8" s="26"/>
      <c r="T8" s="24" t="s">
        <v>105</v>
      </c>
      <c r="U8" s="27">
        <v>1.0550626663312599E-6</v>
      </c>
      <c r="V8" s="27">
        <v>5.9662717755213799E-6</v>
      </c>
      <c r="W8" s="27">
        <v>4.49179933293235E-7</v>
      </c>
      <c r="X8" s="27">
        <v>3.7072721688872899E-7</v>
      </c>
      <c r="Y8" s="27">
        <v>0.58776691226244204</v>
      </c>
      <c r="Z8" s="27">
        <v>7.6446009145634601E-6</v>
      </c>
      <c r="AA8" s="27">
        <v>1.9127376447039201E-7</v>
      </c>
      <c r="AB8" s="27">
        <v>1.6751903318776401E-7</v>
      </c>
      <c r="AC8" s="27">
        <v>1.9320600215148099E-6</v>
      </c>
      <c r="AD8" s="27">
        <v>2.10589237267898E-11</v>
      </c>
      <c r="AE8" s="27">
        <v>4.0836565111940599E-8</v>
      </c>
      <c r="AF8" s="27">
        <v>1.0951597969202401E-6</v>
      </c>
      <c r="AG8" s="27">
        <v>6.7793429408993898E-11</v>
      </c>
      <c r="AH8" s="27">
        <v>7.9455054148752898E-8</v>
      </c>
      <c r="AI8" s="27">
        <v>3.7173591211826799E-7</v>
      </c>
      <c r="AJ8" s="27">
        <v>2.35604014622884E-8</v>
      </c>
      <c r="AL8" s="24" t="s">
        <v>105</v>
      </c>
      <c r="AM8" s="27">
        <f t="shared" ref="AM8:BB8" si="5">U8-B8</f>
        <v>-9.7109619878234972E-3</v>
      </c>
      <c r="AN8" s="27">
        <f t="shared" si="5"/>
        <v>-4.8462895668773881E-3</v>
      </c>
      <c r="AO8" s="27">
        <f t="shared" si="5"/>
        <v>-5.97503510475957E-3</v>
      </c>
      <c r="AP8" s="27">
        <f t="shared" si="5"/>
        <v>-7.0711092980332681E-3</v>
      </c>
      <c r="AQ8" s="27">
        <f t="shared" si="5"/>
        <v>0.34526642745151148</v>
      </c>
      <c r="AR8" s="27">
        <f t="shared" si="5"/>
        <v>-3.909443976091153E-2</v>
      </c>
      <c r="AS8" s="27">
        <f t="shared" si="5"/>
        <v>-7.1149235096147718E-3</v>
      </c>
      <c r="AT8" s="27">
        <f t="shared" si="5"/>
        <v>-2.9942756623168153E-3</v>
      </c>
      <c r="AU8" s="27">
        <f t="shared" si="5"/>
        <v>-4.3143844353061688E-3</v>
      </c>
      <c r="AV8" s="27">
        <f t="shared" si="5"/>
        <v>-5.2345454375256192E-3</v>
      </c>
      <c r="AW8" s="27">
        <f t="shared" si="5"/>
        <v>-3.6831677557195752E-3</v>
      </c>
      <c r="AX8" s="27">
        <f t="shared" si="5"/>
        <v>-8.3399008570355995E-3</v>
      </c>
      <c r="AY8" s="27">
        <f t="shared" si="5"/>
        <v>-1.5731264115093437E-2</v>
      </c>
      <c r="AZ8" s="27">
        <f t="shared" si="5"/>
        <v>-7.4245887134950471E-3</v>
      </c>
      <c r="BA8" s="27">
        <f t="shared" si="5"/>
        <v>-2.5964726473742369E-2</v>
      </c>
      <c r="BB8" s="27">
        <f t="shared" si="5"/>
        <v>-7.3515900545163999E-3</v>
      </c>
    </row>
    <row r="9" spans="1:54" ht="14.4" x14ac:dyDescent="0.3">
      <c r="A9" s="24" t="s">
        <v>106</v>
      </c>
      <c r="B9" s="25">
        <v>2.3703155406821033E-3</v>
      </c>
      <c r="C9" s="25">
        <v>1.9308609024182263E-3</v>
      </c>
      <c r="D9" s="25">
        <v>2.7224982920330577E-3</v>
      </c>
      <c r="E9" s="25">
        <v>1.3294624526794165E-2</v>
      </c>
      <c r="F9" s="25">
        <v>7.7952115676626311E-3</v>
      </c>
      <c r="G9" s="25">
        <v>4.8834463218351606E-3</v>
      </c>
      <c r="H9" s="25">
        <v>4.5510809813824526E-3</v>
      </c>
      <c r="I9" s="25">
        <v>3.4229968908933844E-3</v>
      </c>
      <c r="J9" s="25">
        <v>3.2334457327312044E-3</v>
      </c>
      <c r="K9" s="25">
        <v>5.5967101694175741E-3</v>
      </c>
      <c r="L9" s="25">
        <v>5.1269137967227384E-3</v>
      </c>
      <c r="M9" s="25">
        <v>1.8015228293328965E-3</v>
      </c>
      <c r="N9" s="25">
        <v>6.5794113060414997E-3</v>
      </c>
      <c r="O9" s="25">
        <v>3.4541192177400277E-3</v>
      </c>
      <c r="P9" s="25">
        <v>2.4263229712160228E-3</v>
      </c>
      <c r="Q9" s="25">
        <v>6.6078828240257927E-3</v>
      </c>
      <c r="R9" s="21"/>
      <c r="S9" s="21"/>
      <c r="T9" s="24" t="s">
        <v>106</v>
      </c>
      <c r="U9" s="27">
        <v>1.49272752374587E-6</v>
      </c>
      <c r="V9" s="27">
        <v>8.4412219081141894E-6</v>
      </c>
      <c r="W9" s="27">
        <v>6.3551035491822E-7</v>
      </c>
      <c r="X9" s="27">
        <v>6.0783392049459104E-3</v>
      </c>
      <c r="Y9" s="27">
        <v>1.7881439035703001E-7</v>
      </c>
      <c r="Z9" s="27">
        <v>1.6625382666875399E-11</v>
      </c>
      <c r="AA9" s="27">
        <v>0.157564501223911</v>
      </c>
      <c r="AB9" s="27">
        <v>2.37009875877988E-7</v>
      </c>
      <c r="AC9" s="27">
        <v>1.67917197897136E-11</v>
      </c>
      <c r="AD9" s="27">
        <v>2.9794661559538199E-11</v>
      </c>
      <c r="AE9" s="27">
        <v>5.7776534667652299E-8</v>
      </c>
      <c r="AF9" s="27">
        <v>2.0111061270456602E-5</v>
      </c>
      <c r="AG9" s="27">
        <v>9.5915741535825002E-11</v>
      </c>
      <c r="AH9" s="27">
        <v>1.12414883033424E-7</v>
      </c>
      <c r="AI9" s="27">
        <v>5.2594072872775001E-7</v>
      </c>
      <c r="AJ9" s="27">
        <v>3.3333811209103902E-8</v>
      </c>
      <c r="AL9" s="24" t="s">
        <v>106</v>
      </c>
      <c r="AM9" s="27">
        <f t="shared" ref="AM9:BB9" si="6">U9-B9</f>
        <v>-2.3688228131583575E-3</v>
      </c>
      <c r="AN9" s="27">
        <f t="shared" si="6"/>
        <v>-1.9224196805101121E-3</v>
      </c>
      <c r="AO9" s="27">
        <f t="shared" si="6"/>
        <v>-2.7218627816781396E-3</v>
      </c>
      <c r="AP9" s="27">
        <f t="shared" si="6"/>
        <v>-7.2162853218482549E-3</v>
      </c>
      <c r="AQ9" s="27">
        <f t="shared" si="6"/>
        <v>-7.7950327532722739E-3</v>
      </c>
      <c r="AR9" s="27">
        <f t="shared" si="6"/>
        <v>-4.8834463052097781E-3</v>
      </c>
      <c r="AS9" s="27">
        <f t="shared" si="6"/>
        <v>0.15301342024252854</v>
      </c>
      <c r="AT9" s="27">
        <f t="shared" si="6"/>
        <v>-3.4227598810175064E-3</v>
      </c>
      <c r="AU9" s="27">
        <f t="shared" si="6"/>
        <v>-3.2334457159394845E-3</v>
      </c>
      <c r="AV9" s="27">
        <f t="shared" si="6"/>
        <v>-5.5967101396229126E-3</v>
      </c>
      <c r="AW9" s="27">
        <f t="shared" si="6"/>
        <v>-5.1268560201880708E-3</v>
      </c>
      <c r="AX9" s="27">
        <f t="shared" si="6"/>
        <v>-1.7814117680624399E-3</v>
      </c>
      <c r="AY9" s="27">
        <f t="shared" si="6"/>
        <v>-6.5794112101257582E-3</v>
      </c>
      <c r="AZ9" s="27">
        <f t="shared" si="6"/>
        <v>-3.4540068028569943E-3</v>
      </c>
      <c r="BA9" s="27">
        <f t="shared" si="6"/>
        <v>-2.4257970304872949E-3</v>
      </c>
      <c r="BB9" s="27">
        <f t="shared" si="6"/>
        <v>-6.607849490214584E-3</v>
      </c>
    </row>
    <row r="10" spans="1:54" ht="14.4" x14ac:dyDescent="0.3">
      <c r="A10" s="24" t="s">
        <v>107</v>
      </c>
      <c r="B10" s="25">
        <v>0.25079263636124871</v>
      </c>
      <c r="C10" s="25">
        <v>0.26099773058241504</v>
      </c>
      <c r="D10" s="25">
        <v>0.19875592409952167</v>
      </c>
      <c r="E10" s="25">
        <v>0.12760152635850411</v>
      </c>
      <c r="F10" s="25">
        <v>0.20879156849781394</v>
      </c>
      <c r="G10" s="25">
        <v>0.12613558447590673</v>
      </c>
      <c r="H10" s="25">
        <v>0.3106982383248359</v>
      </c>
      <c r="I10" s="25">
        <v>0.17082517811599274</v>
      </c>
      <c r="J10" s="25">
        <v>0.30135540543737632</v>
      </c>
      <c r="K10" s="25">
        <v>0.16179139391308206</v>
      </c>
      <c r="L10" s="25">
        <v>0.19367993243983275</v>
      </c>
      <c r="M10" s="25">
        <v>6.9707018357067219E-2</v>
      </c>
      <c r="N10" s="25">
        <v>7.1763640496276801E-2</v>
      </c>
      <c r="O10" s="25">
        <v>0.1252678240275848</v>
      </c>
      <c r="P10" s="25">
        <v>8.3892257097793202E-2</v>
      </c>
      <c r="Q10" s="25">
        <v>0.1168147467460893</v>
      </c>
      <c r="R10" s="21"/>
      <c r="S10" s="26"/>
      <c r="T10" s="24" t="s">
        <v>107</v>
      </c>
      <c r="U10" s="27">
        <v>5.6618970323023203E-2</v>
      </c>
      <c r="V10" s="27">
        <v>0.320174502782825</v>
      </c>
      <c r="W10" s="27">
        <v>2.4104829148453698E-2</v>
      </c>
      <c r="X10" s="27">
        <v>1.98947360766242E-2</v>
      </c>
      <c r="Y10" s="27">
        <v>6.7824077066310001E-3</v>
      </c>
      <c r="Z10" s="27">
        <v>6.3059870796954103E-7</v>
      </c>
      <c r="AA10" s="27">
        <v>1.02645311408657E-2</v>
      </c>
      <c r="AB10" s="27">
        <v>8.9897552735711695E-3</v>
      </c>
      <c r="AC10" s="27">
        <v>0.95624315557901995</v>
      </c>
      <c r="AD10" s="27">
        <v>1.13010782730848E-6</v>
      </c>
      <c r="AE10" s="27">
        <v>2.19145681289913E-3</v>
      </c>
      <c r="AF10" s="27">
        <v>0.86426056292415099</v>
      </c>
      <c r="AG10" s="27">
        <v>3.6380722115312201E-6</v>
      </c>
      <c r="AH10" s="27">
        <v>4.2638826075663402E-3</v>
      </c>
      <c r="AI10" s="27">
        <v>1.9948866780978201E-2</v>
      </c>
      <c r="AJ10" s="27">
        <v>1.2643473357183399E-3</v>
      </c>
      <c r="AL10" s="24" t="s">
        <v>107</v>
      </c>
      <c r="AM10" s="27">
        <f t="shared" ref="AM10:BB10" si="7">U10-B10</f>
        <v>-0.1941736660382255</v>
      </c>
      <c r="AN10" s="27">
        <f t="shared" si="7"/>
        <v>5.9176772200409955E-2</v>
      </c>
      <c r="AO10" s="27">
        <f t="shared" si="7"/>
        <v>-0.17465109495106798</v>
      </c>
      <c r="AP10" s="27">
        <f t="shared" si="7"/>
        <v>-0.10770679028187991</v>
      </c>
      <c r="AQ10" s="27">
        <f t="shared" si="7"/>
        <v>-0.20200916079118295</v>
      </c>
      <c r="AR10" s="27">
        <f t="shared" si="7"/>
        <v>-0.12613495387719875</v>
      </c>
      <c r="AS10" s="27">
        <f t="shared" si="7"/>
        <v>-0.30043370718397022</v>
      </c>
      <c r="AT10" s="27">
        <f t="shared" si="7"/>
        <v>-0.16183542284242156</v>
      </c>
      <c r="AU10" s="27">
        <f t="shared" si="7"/>
        <v>0.65488775014164369</v>
      </c>
      <c r="AV10" s="27">
        <f t="shared" si="7"/>
        <v>-0.16179026380525474</v>
      </c>
      <c r="AW10" s="27">
        <f t="shared" si="7"/>
        <v>-0.19148847562693364</v>
      </c>
      <c r="AX10" s="27">
        <f t="shared" si="7"/>
        <v>0.79455354456708371</v>
      </c>
      <c r="AY10" s="27">
        <f t="shared" si="7"/>
        <v>-7.1760002424065272E-2</v>
      </c>
      <c r="AZ10" s="27">
        <f t="shared" si="7"/>
        <v>-0.12100394142001845</v>
      </c>
      <c r="BA10" s="27">
        <f t="shared" si="7"/>
        <v>-6.3943390316815008E-2</v>
      </c>
      <c r="BB10" s="27">
        <f t="shared" si="7"/>
        <v>-0.11555039941037096</v>
      </c>
    </row>
    <row r="11" spans="1:54" ht="14.4" x14ac:dyDescent="0.3">
      <c r="A11" s="24" t="s">
        <v>108</v>
      </c>
      <c r="B11" s="25">
        <v>3.9217877147665746E-2</v>
      </c>
      <c r="C11" s="25">
        <v>3.9593074461710488E-2</v>
      </c>
      <c r="D11" s="25">
        <v>2.6065906534293241E-2</v>
      </c>
      <c r="E11" s="25">
        <v>3.374208430251583E-2</v>
      </c>
      <c r="F11" s="25">
        <v>4.9642446590924393E-2</v>
      </c>
      <c r="G11" s="25">
        <v>8.9770664621903057E-2</v>
      </c>
      <c r="H11" s="25">
        <v>4.9412593523314882E-2</v>
      </c>
      <c r="I11" s="25">
        <v>9.9994872345254004E-3</v>
      </c>
      <c r="J11" s="25">
        <v>3.2742475722121259E-2</v>
      </c>
      <c r="K11" s="25">
        <v>0.23058476308731396</v>
      </c>
      <c r="L11" s="25">
        <v>3.4618201123915476E-2</v>
      </c>
      <c r="M11" s="25">
        <v>1.3475358201646897E-2</v>
      </c>
      <c r="N11" s="25">
        <v>3.721282416195313E-2</v>
      </c>
      <c r="O11" s="25">
        <v>1.6868636260453016E-2</v>
      </c>
      <c r="P11" s="25">
        <v>3.0394198975228746E-2</v>
      </c>
      <c r="Q11" s="25">
        <v>5.6867157875045204E-2</v>
      </c>
      <c r="R11" s="26"/>
      <c r="S11" s="26"/>
      <c r="T11" s="24" t="s">
        <v>108</v>
      </c>
      <c r="U11" s="27">
        <v>5.62421042286933E-3</v>
      </c>
      <c r="V11" s="27">
        <v>3.1804336345480001E-2</v>
      </c>
      <c r="W11" s="27">
        <v>2.3944383051256401E-3</v>
      </c>
      <c r="X11" s="27">
        <v>1.97623131194396E-3</v>
      </c>
      <c r="Y11" s="27">
        <v>6.7372627757365095E-4</v>
      </c>
      <c r="Z11" s="27">
        <v>6.2640132905562103E-8</v>
      </c>
      <c r="AA11" s="27">
        <v>1.01962085673693E-3</v>
      </c>
      <c r="AB11" s="27">
        <v>8.9299178385277196E-4</v>
      </c>
      <c r="AC11" s="27">
        <v>5.8465132252792902E-3</v>
      </c>
      <c r="AD11" s="27">
        <v>0.99999753262261004</v>
      </c>
      <c r="AE11" s="27">
        <v>0.27730111670749602</v>
      </c>
      <c r="AF11" s="27">
        <v>6.4991826552505905E-2</v>
      </c>
      <c r="AG11" s="27">
        <v>3.6138565456964701E-7</v>
      </c>
      <c r="AH11" s="27">
        <v>0.184125474128286</v>
      </c>
      <c r="AI11" s="27">
        <v>1.9816083520047098E-3</v>
      </c>
      <c r="AJ11" s="27">
        <v>1.25593161145543E-4</v>
      </c>
      <c r="AL11" s="24" t="s">
        <v>108</v>
      </c>
      <c r="AM11" s="27">
        <f t="shared" ref="AM11:BB11" si="8">U11-B11</f>
        <v>-3.3593666724796419E-2</v>
      </c>
      <c r="AN11" s="27">
        <f t="shared" si="8"/>
        <v>-7.788738116230487E-3</v>
      </c>
      <c r="AO11" s="27">
        <f t="shared" si="8"/>
        <v>-2.3671468229167603E-2</v>
      </c>
      <c r="AP11" s="27">
        <f t="shared" si="8"/>
        <v>-3.1765852990571872E-2</v>
      </c>
      <c r="AQ11" s="27">
        <f t="shared" si="8"/>
        <v>-4.8968720313350741E-2</v>
      </c>
      <c r="AR11" s="27">
        <f t="shared" si="8"/>
        <v>-8.9770601981770157E-2</v>
      </c>
      <c r="AS11" s="27">
        <f t="shared" si="8"/>
        <v>-4.8392972666577952E-2</v>
      </c>
      <c r="AT11" s="27">
        <f t="shared" si="8"/>
        <v>-9.1064954506726286E-3</v>
      </c>
      <c r="AU11" s="27">
        <f t="shared" si="8"/>
        <v>-2.6895962496841969E-2</v>
      </c>
      <c r="AV11" s="27">
        <f t="shared" si="8"/>
        <v>0.76941276953529614</v>
      </c>
      <c r="AW11" s="27">
        <f t="shared" si="8"/>
        <v>0.24268291558358054</v>
      </c>
      <c r="AX11" s="27">
        <f t="shared" si="8"/>
        <v>5.1516468350859004E-2</v>
      </c>
      <c r="AY11" s="27">
        <f t="shared" si="8"/>
        <v>-3.7212462776298562E-2</v>
      </c>
      <c r="AZ11" s="27">
        <f t="shared" si="8"/>
        <v>0.16725683786783299</v>
      </c>
      <c r="BA11" s="27">
        <f t="shared" si="8"/>
        <v>-2.8412590623224036E-2</v>
      </c>
      <c r="BB11" s="27">
        <f t="shared" si="8"/>
        <v>-5.6741564713899663E-2</v>
      </c>
    </row>
    <row r="12" spans="1:54" ht="14.4" x14ac:dyDescent="0.3">
      <c r="A12" s="24" t="s">
        <v>109</v>
      </c>
      <c r="B12" s="25">
        <v>1.9549870207455376E-2</v>
      </c>
      <c r="C12" s="25">
        <v>2.0374753795101348E-2</v>
      </c>
      <c r="D12" s="25">
        <v>2.104398875156667E-2</v>
      </c>
      <c r="E12" s="25">
        <v>0.12110858830613229</v>
      </c>
      <c r="F12" s="25">
        <v>2.0654871969609995E-2</v>
      </c>
      <c r="G12" s="25">
        <v>0.105474817493989</v>
      </c>
      <c r="H12" s="25">
        <v>4.689086824241355E-2</v>
      </c>
      <c r="I12" s="25">
        <v>8.23097916940536E-2</v>
      </c>
      <c r="J12" s="25">
        <v>9.5166218569343E-2</v>
      </c>
      <c r="K12" s="25">
        <v>7.5225393147944075E-2</v>
      </c>
      <c r="L12" s="25">
        <v>0.16058435905098642</v>
      </c>
      <c r="M12" s="25">
        <v>7.0709602591247575E-2</v>
      </c>
      <c r="N12" s="25">
        <v>0.12755842510536264</v>
      </c>
      <c r="O12" s="25">
        <v>5.149819493653756E-2</v>
      </c>
      <c r="P12" s="25">
        <v>0.19133845633368171</v>
      </c>
      <c r="Q12" s="25">
        <v>0.12291109948153492</v>
      </c>
      <c r="R12" s="26"/>
      <c r="S12" s="26"/>
      <c r="T12" s="24" t="s">
        <v>109</v>
      </c>
      <c r="U12" s="27">
        <v>1.4134817744413E-6</v>
      </c>
      <c r="V12" s="27">
        <v>7.9930952778260404E-6</v>
      </c>
      <c r="W12" s="27">
        <v>6.0177245334865996E-7</v>
      </c>
      <c r="X12" s="27">
        <v>5.4282751289919898E-2</v>
      </c>
      <c r="Y12" s="27">
        <v>1.6932151230335499E-7</v>
      </c>
      <c r="Z12" s="27">
        <v>1.5742776239410499E-11</v>
      </c>
      <c r="AA12" s="27">
        <v>2.56252058418291E-7</v>
      </c>
      <c r="AB12" s="27">
        <v>2.2442752249617299E-7</v>
      </c>
      <c r="AC12" s="27">
        <v>1.5900282875956599E-11</v>
      </c>
      <c r="AD12" s="27">
        <v>2.8212925949387101E-11</v>
      </c>
      <c r="AE12" s="27">
        <v>5.4709300554845299E-8</v>
      </c>
      <c r="AF12" s="27">
        <v>1.23984591729708E-8</v>
      </c>
      <c r="AG12" s="27">
        <v>9.0823777538915399E-11</v>
      </c>
      <c r="AH12" s="27">
        <v>0.79475742593187804</v>
      </c>
      <c r="AI12" s="27">
        <v>4.9801964703346601E-7</v>
      </c>
      <c r="AJ12" s="27">
        <v>3.1564189624172102E-8</v>
      </c>
      <c r="AL12" s="24" t="s">
        <v>109</v>
      </c>
      <c r="AM12" s="27">
        <f t="shared" ref="AM12:BB12" si="9">U12-B12</f>
        <v>-1.9548456725680934E-2</v>
      </c>
      <c r="AN12" s="27">
        <f t="shared" si="9"/>
        <v>-2.0366760699823523E-2</v>
      </c>
      <c r="AO12" s="27">
        <f t="shared" si="9"/>
        <v>-2.1043386979113322E-2</v>
      </c>
      <c r="AP12" s="27">
        <f t="shared" si="9"/>
        <v>-6.6825837016212392E-2</v>
      </c>
      <c r="AQ12" s="27">
        <f t="shared" si="9"/>
        <v>-2.0654702648097691E-2</v>
      </c>
      <c r="AR12" s="27">
        <f t="shared" si="9"/>
        <v>-0.10547481747824622</v>
      </c>
      <c r="AS12" s="27">
        <f t="shared" si="9"/>
        <v>-4.689061199035513E-2</v>
      </c>
      <c r="AT12" s="27">
        <f t="shared" si="9"/>
        <v>-8.2309567266531103E-2</v>
      </c>
      <c r="AU12" s="27">
        <f t="shared" si="9"/>
        <v>-9.5166218553442719E-2</v>
      </c>
      <c r="AV12" s="27">
        <f t="shared" si="9"/>
        <v>-7.5225393119731143E-2</v>
      </c>
      <c r="AW12" s="27">
        <f t="shared" si="9"/>
        <v>-0.16058430434168586</v>
      </c>
      <c r="AX12" s="27">
        <f t="shared" si="9"/>
        <v>-7.0709590192788399E-2</v>
      </c>
      <c r="AY12" s="27">
        <f t="shared" si="9"/>
        <v>-0.12755842501453887</v>
      </c>
      <c r="AZ12" s="27">
        <f t="shared" si="9"/>
        <v>0.74325923099534053</v>
      </c>
      <c r="BA12" s="27">
        <f t="shared" si="9"/>
        <v>-0.19133795831403469</v>
      </c>
      <c r="BB12" s="27">
        <f t="shared" si="9"/>
        <v>-0.1229110679173453</v>
      </c>
    </row>
    <row r="13" spans="1:54" ht="14.4" x14ac:dyDescent="0.3">
      <c r="A13" s="24" t="s">
        <v>110</v>
      </c>
      <c r="B13" s="25">
        <v>9.6495958780096289E-3</v>
      </c>
      <c r="C13" s="25">
        <v>1.0614621778157432E-2</v>
      </c>
      <c r="D13" s="25">
        <v>7.9965552108797397E-3</v>
      </c>
      <c r="E13" s="25">
        <v>4.3485761167860057E-2</v>
      </c>
      <c r="F13" s="25">
        <v>5.7085436415431963E-2</v>
      </c>
      <c r="G13" s="25">
        <v>5.08319472434451E-2</v>
      </c>
      <c r="H13" s="25">
        <v>1.6489637392762078E-2</v>
      </c>
      <c r="I13" s="25">
        <v>1.0532624450697452E-2</v>
      </c>
      <c r="J13" s="25">
        <v>3.6540476474487507E-2</v>
      </c>
      <c r="K13" s="25">
        <v>2.8133044177905232E-2</v>
      </c>
      <c r="L13" s="25">
        <v>0.11835970212908604</v>
      </c>
      <c r="M13" s="25">
        <v>4.5513002743545902E-2</v>
      </c>
      <c r="N13" s="25">
        <v>4.3144359717447553E-2</v>
      </c>
      <c r="O13" s="25">
        <v>1.7075228681904867E-2</v>
      </c>
      <c r="P13" s="25">
        <v>4.0042871491371736E-2</v>
      </c>
      <c r="Q13" s="25">
        <v>5.0309414912928348E-2</v>
      </c>
      <c r="R13" s="26"/>
      <c r="S13" s="26"/>
      <c r="T13" s="24" t="s">
        <v>110</v>
      </c>
      <c r="U13" s="27">
        <v>5.6340823191214E-6</v>
      </c>
      <c r="V13" s="27">
        <v>3.18601609119813E-5</v>
      </c>
      <c r="W13" s="27">
        <v>2.3986411433469901E-6</v>
      </c>
      <c r="X13" s="27">
        <v>1.9797000922730701E-6</v>
      </c>
      <c r="Y13" s="27">
        <v>6.7490883573105101E-7</v>
      </c>
      <c r="Z13" s="27">
        <v>6.2750082008949899E-11</v>
      </c>
      <c r="AA13" s="27">
        <v>8.1458975120273794E-2</v>
      </c>
      <c r="AB13" s="27">
        <v>8.9455920782544199E-7</v>
      </c>
      <c r="AC13" s="27">
        <v>6.3377897218282197E-11</v>
      </c>
      <c r="AD13" s="27">
        <v>1.1245560440632599E-10</v>
      </c>
      <c r="AE13" s="27">
        <v>0.71210253086532704</v>
      </c>
      <c r="AF13" s="27">
        <v>1.9378517660841501E-3</v>
      </c>
      <c r="AG13" s="27">
        <v>3.6201997679813199E-10</v>
      </c>
      <c r="AH13" s="27">
        <v>4.2429357992634102E-7</v>
      </c>
      <c r="AI13" s="27">
        <v>1.9850865703842502E-6</v>
      </c>
      <c r="AJ13" s="27">
        <v>0.18128723836451699</v>
      </c>
      <c r="AL13" s="24" t="s">
        <v>110</v>
      </c>
      <c r="AM13" s="27">
        <f t="shared" ref="AM13:BB13" si="10">U13-B13</f>
        <v>-9.6439617956905078E-3</v>
      </c>
      <c r="AN13" s="27">
        <f t="shared" si="10"/>
        <v>-1.058276161724545E-2</v>
      </c>
      <c r="AO13" s="27">
        <f t="shared" si="10"/>
        <v>-7.9941565697363923E-3</v>
      </c>
      <c r="AP13" s="27">
        <f t="shared" si="10"/>
        <v>-4.3483781467767782E-2</v>
      </c>
      <c r="AQ13" s="27">
        <f t="shared" si="10"/>
        <v>-5.7084761506596235E-2</v>
      </c>
      <c r="AR13" s="27">
        <f t="shared" si="10"/>
        <v>-5.0831947180695017E-2</v>
      </c>
      <c r="AS13" s="27">
        <f t="shared" si="10"/>
        <v>6.496933772751172E-2</v>
      </c>
      <c r="AT13" s="27">
        <f t="shared" si="10"/>
        <v>-1.0531729891489627E-2</v>
      </c>
      <c r="AU13" s="27">
        <f t="shared" si="10"/>
        <v>-3.6540476411109607E-2</v>
      </c>
      <c r="AV13" s="27">
        <f t="shared" si="10"/>
        <v>-2.8133044065449628E-2</v>
      </c>
      <c r="AW13" s="27">
        <f t="shared" si="10"/>
        <v>0.59374282873624096</v>
      </c>
      <c r="AX13" s="27">
        <f t="shared" si="10"/>
        <v>-4.357515097746175E-2</v>
      </c>
      <c r="AY13" s="27">
        <f t="shared" si="10"/>
        <v>-4.3144359355427576E-2</v>
      </c>
      <c r="AZ13" s="27">
        <f t="shared" si="10"/>
        <v>-1.7074804388324941E-2</v>
      </c>
      <c r="BA13" s="27">
        <f t="shared" si="10"/>
        <v>-4.004088640480135E-2</v>
      </c>
      <c r="BB13" s="27">
        <f t="shared" si="10"/>
        <v>0.13097782345158865</v>
      </c>
    </row>
    <row r="14" spans="1:54" ht="14.4" x14ac:dyDescent="0.3">
      <c r="A14" s="24" t="s">
        <v>111</v>
      </c>
      <c r="B14" s="25">
        <v>1.4157974304784219E-2</v>
      </c>
      <c r="C14" s="25">
        <v>8.7222462213908496E-3</v>
      </c>
      <c r="D14" s="25">
        <v>1.690522146880042E-2</v>
      </c>
      <c r="E14" s="25">
        <v>0.15512522409063378</v>
      </c>
      <c r="F14" s="25">
        <v>3.9430871142679173E-2</v>
      </c>
      <c r="G14" s="25">
        <v>1.2935252633363018E-2</v>
      </c>
      <c r="H14" s="25">
        <v>2.2978630081384503E-2</v>
      </c>
      <c r="I14" s="25">
        <v>1.2251716355446349E-2</v>
      </c>
      <c r="J14" s="25">
        <v>2.4581987626859866E-2</v>
      </c>
      <c r="K14" s="25">
        <v>3.5598101198514302E-2</v>
      </c>
      <c r="L14" s="25">
        <v>2.6892816106906005E-2</v>
      </c>
      <c r="M14" s="25">
        <v>1.8160547584244142E-2</v>
      </c>
      <c r="N14" s="25">
        <v>2.7000722071061519E-2</v>
      </c>
      <c r="O14" s="25">
        <v>2.2950418559476285E-2</v>
      </c>
      <c r="P14" s="25">
        <v>2.5819704720763299E-2</v>
      </c>
      <c r="Q14" s="25">
        <v>6.7184312282325909E-2</v>
      </c>
      <c r="R14" s="26"/>
      <c r="S14" s="21"/>
      <c r="T14" s="24" t="s">
        <v>111</v>
      </c>
      <c r="U14" s="27">
        <v>1.4096596144104E-6</v>
      </c>
      <c r="V14" s="27">
        <v>7.9714813526615894E-6</v>
      </c>
      <c r="W14" s="27">
        <v>6.0014521579917505E-7</v>
      </c>
      <c r="X14" s="27">
        <v>4.9532525629782999E-7</v>
      </c>
      <c r="Y14" s="27">
        <v>1.6886365431862699E-7</v>
      </c>
      <c r="Z14" s="27">
        <v>1.5700206599528599E-11</v>
      </c>
      <c r="AA14" s="27">
        <v>2.55559133760024E-7</v>
      </c>
      <c r="AB14" s="27">
        <v>2.2382065375415601E-7</v>
      </c>
      <c r="AC14" s="27">
        <v>1.5857287326394201E-11</v>
      </c>
      <c r="AD14" s="27">
        <v>2.8136636095589001E-11</v>
      </c>
      <c r="AE14" s="27">
        <v>5.4561362529976098E-8</v>
      </c>
      <c r="AF14" s="27">
        <v>1.2364932815608099E-8</v>
      </c>
      <c r="AG14" s="27">
        <v>9.0578183277538098E-11</v>
      </c>
      <c r="AH14" s="27">
        <v>1.06159173827806E-7</v>
      </c>
      <c r="AI14" s="27">
        <v>4.9667296480245701E-7</v>
      </c>
      <c r="AJ14" s="27">
        <v>0.471448168695904</v>
      </c>
      <c r="AL14" s="24" t="s">
        <v>111</v>
      </c>
      <c r="AM14" s="27">
        <f t="shared" ref="AM14:BB14" si="11">U14-B14</f>
        <v>-1.4156564645169808E-2</v>
      </c>
      <c r="AN14" s="27">
        <f t="shared" si="11"/>
        <v>-8.714274740038188E-3</v>
      </c>
      <c r="AO14" s="27">
        <f t="shared" si="11"/>
        <v>-1.6904621323584623E-2</v>
      </c>
      <c r="AP14" s="27">
        <f t="shared" si="11"/>
        <v>-0.15512472876537747</v>
      </c>
      <c r="AQ14" s="27">
        <f t="shared" si="11"/>
        <v>-3.9430702279024857E-2</v>
      </c>
      <c r="AR14" s="27">
        <f t="shared" si="11"/>
        <v>-1.2935252617662811E-2</v>
      </c>
      <c r="AS14" s="27">
        <f t="shared" si="11"/>
        <v>-2.2978374522250742E-2</v>
      </c>
      <c r="AT14" s="27">
        <f t="shared" si="11"/>
        <v>-1.2251492534792595E-2</v>
      </c>
      <c r="AU14" s="27">
        <f t="shared" si="11"/>
        <v>-2.4581987611002578E-2</v>
      </c>
      <c r="AV14" s="27">
        <f t="shared" si="11"/>
        <v>-3.5598101170377663E-2</v>
      </c>
      <c r="AW14" s="27">
        <f t="shared" si="11"/>
        <v>-2.6892761545543476E-2</v>
      </c>
      <c r="AX14" s="27">
        <f t="shared" si="11"/>
        <v>-1.8160535219311325E-2</v>
      </c>
      <c r="AY14" s="27">
        <f t="shared" si="11"/>
        <v>-2.7000721980483335E-2</v>
      </c>
      <c r="AZ14" s="27">
        <f t="shared" si="11"/>
        <v>-2.2950312400302458E-2</v>
      </c>
      <c r="BA14" s="27">
        <f t="shared" si="11"/>
        <v>-2.5819208047798498E-2</v>
      </c>
      <c r="BB14" s="27">
        <f t="shared" si="11"/>
        <v>0.40426385641357809</v>
      </c>
    </row>
    <row r="15" spans="1:54" ht="14.4" x14ac:dyDescent="0.3">
      <c r="A15" s="24" t="s">
        <v>112</v>
      </c>
      <c r="B15" s="25">
        <v>2.9822268603494323E-2</v>
      </c>
      <c r="C15" s="25">
        <v>3.1585543003019766E-2</v>
      </c>
      <c r="D15" s="25">
        <v>9.5317949679899497E-2</v>
      </c>
      <c r="E15" s="25">
        <v>0.28225675043764326</v>
      </c>
      <c r="F15" s="25">
        <v>8.1738669122403962E-2</v>
      </c>
      <c r="G15" s="25">
        <v>0.1078390760022699</v>
      </c>
      <c r="H15" s="25">
        <v>0.11436892273734472</v>
      </c>
      <c r="I15" s="25">
        <v>5.7645553656924226E-2</v>
      </c>
      <c r="J15" s="25">
        <v>0.1166996683623184</v>
      </c>
      <c r="K15" s="25">
        <v>0.19624190916170023</v>
      </c>
      <c r="L15" s="25">
        <v>0.21438508442386622</v>
      </c>
      <c r="M15" s="25">
        <v>0.13746967269187516</v>
      </c>
      <c r="N15" s="25">
        <v>0.32426133148751574</v>
      </c>
      <c r="O15" s="25">
        <v>0.29068177055916938</v>
      </c>
      <c r="P15" s="25">
        <v>0.15209600392366515</v>
      </c>
      <c r="Q15" s="25">
        <v>0.34056504903863533</v>
      </c>
      <c r="R15" s="26"/>
      <c r="S15" s="26"/>
      <c r="T15" s="24" t="s">
        <v>112</v>
      </c>
      <c r="U15" s="27">
        <v>1.29684713267156E-6</v>
      </c>
      <c r="V15" s="27">
        <v>7.3335382738249597E-6</v>
      </c>
      <c r="W15" s="27">
        <v>5.5211669139095003E-7</v>
      </c>
      <c r="X15" s="27">
        <v>0.910749355877991</v>
      </c>
      <c r="Y15" s="27">
        <v>0.31069960957510601</v>
      </c>
      <c r="Z15" s="27">
        <v>1.44437477691845E-11</v>
      </c>
      <c r="AA15" s="27">
        <v>2.35107203509787E-7</v>
      </c>
      <c r="AB15" s="27">
        <v>2.05908696033088E-7</v>
      </c>
      <c r="AC15" s="27">
        <v>1.4588257612661098E-11</v>
      </c>
      <c r="AD15" s="27">
        <v>2.58849125495089E-11</v>
      </c>
      <c r="AE15" s="27">
        <v>5.0194916438212601E-8</v>
      </c>
      <c r="AF15" s="27">
        <v>6.6061557663321803E-6</v>
      </c>
      <c r="AG15" s="27">
        <v>8.3329376868900901E-11</v>
      </c>
      <c r="AH15" s="27">
        <v>1.5177816298874601E-2</v>
      </c>
      <c r="AI15" s="27">
        <v>4.5692513546892801E-7</v>
      </c>
      <c r="AJ15" s="27">
        <v>8.6878931619876296E-2</v>
      </c>
      <c r="AL15" s="24" t="s">
        <v>112</v>
      </c>
      <c r="AM15" s="27">
        <f t="shared" ref="AM15:BB15" si="12">U15-B15</f>
        <v>-2.9820971756361652E-2</v>
      </c>
      <c r="AN15" s="27">
        <f t="shared" si="12"/>
        <v>-3.1578209464745939E-2</v>
      </c>
      <c r="AO15" s="27">
        <f t="shared" si="12"/>
        <v>-9.5317397563208103E-2</v>
      </c>
      <c r="AP15" s="27">
        <f t="shared" si="12"/>
        <v>0.62849260544034768</v>
      </c>
      <c r="AQ15" s="27">
        <f t="shared" si="12"/>
        <v>0.22896094045270204</v>
      </c>
      <c r="AR15" s="27">
        <f t="shared" si="12"/>
        <v>-0.10783907598782615</v>
      </c>
      <c r="AS15" s="27">
        <f t="shared" si="12"/>
        <v>-0.11436868763014121</v>
      </c>
      <c r="AT15" s="27">
        <f t="shared" si="12"/>
        <v>-5.7645347748228194E-2</v>
      </c>
      <c r="AU15" s="27">
        <f t="shared" si="12"/>
        <v>-0.11669966834773014</v>
      </c>
      <c r="AV15" s="27">
        <f t="shared" si="12"/>
        <v>-0.19624190913581532</v>
      </c>
      <c r="AW15" s="27">
        <f t="shared" si="12"/>
        <v>-0.21438503422894978</v>
      </c>
      <c r="AX15" s="27">
        <f t="shared" si="12"/>
        <v>-0.13746306653610882</v>
      </c>
      <c r="AY15" s="27">
        <f t="shared" si="12"/>
        <v>-0.32426133140418634</v>
      </c>
      <c r="AZ15" s="27">
        <f t="shared" si="12"/>
        <v>-0.27550395426029478</v>
      </c>
      <c r="BA15" s="27">
        <f t="shared" si="12"/>
        <v>-0.15209554699852967</v>
      </c>
      <c r="BB15" s="27">
        <f t="shared" si="12"/>
        <v>-0.25368611741875902</v>
      </c>
    </row>
    <row r="16" spans="1:54" ht="14.4" x14ac:dyDescent="0.3">
      <c r="A16" s="24" t="s">
        <v>113</v>
      </c>
      <c r="B16" s="25">
        <v>7.1962350011758333E-3</v>
      </c>
      <c r="C16" s="25">
        <v>7.5767999747005802E-3</v>
      </c>
      <c r="D16" s="25">
        <v>9.425095311018733E-3</v>
      </c>
      <c r="E16" s="25">
        <v>4.0462297937123713E-2</v>
      </c>
      <c r="F16" s="25">
        <v>3.3514809818682122E-2</v>
      </c>
      <c r="G16" s="25">
        <v>8.0621804526845343E-3</v>
      </c>
      <c r="H16" s="25">
        <v>1.195971100624877E-2</v>
      </c>
      <c r="I16" s="25">
        <v>1.6524120516848512E-2</v>
      </c>
      <c r="J16" s="25">
        <v>1.4402769119398154E-2</v>
      </c>
      <c r="K16" s="25">
        <v>2.6207068672364425E-2</v>
      </c>
      <c r="L16" s="25">
        <v>3.243137095914244E-2</v>
      </c>
      <c r="M16" s="25">
        <v>2.5168620559933019E-2</v>
      </c>
      <c r="N16" s="25">
        <v>4.7196955692668137E-2</v>
      </c>
      <c r="O16" s="25">
        <v>1.8075517530265539E-2</v>
      </c>
      <c r="P16" s="25">
        <v>2.4736241916432696E-2</v>
      </c>
      <c r="Q16" s="25">
        <v>3.210173332601568E-2</v>
      </c>
      <c r="R16" s="26"/>
      <c r="S16" s="26"/>
      <c r="T16" s="24" t="s">
        <v>113</v>
      </c>
      <c r="U16" s="27">
        <v>3.3737214977622E-6</v>
      </c>
      <c r="V16" s="27">
        <v>1.90780509944122E-5</v>
      </c>
      <c r="W16" s="27">
        <v>4.9468799860395499E-2</v>
      </c>
      <c r="X16" s="27">
        <v>1.3090978255666299E-4</v>
      </c>
      <c r="Y16" s="27">
        <v>9.1768010182454798E-2</v>
      </c>
      <c r="Z16" s="27">
        <v>4.2661128880838604E-6</v>
      </c>
      <c r="AA16" s="27">
        <v>1.422081378865E-2</v>
      </c>
      <c r="AB16" s="27">
        <v>9.5169304160509297E-3</v>
      </c>
      <c r="AC16" s="27">
        <v>4.5253423915878703E-6</v>
      </c>
      <c r="AD16" s="27">
        <v>9.5243353842790705E-7</v>
      </c>
      <c r="AE16" s="27">
        <v>2.90493941258023E-3</v>
      </c>
      <c r="AF16" s="27">
        <v>4.1552452017409403E-4</v>
      </c>
      <c r="AG16" s="27">
        <v>2.1677968285945899E-10</v>
      </c>
      <c r="AH16" s="27">
        <v>2.2362366831385399E-4</v>
      </c>
      <c r="AI16" s="27">
        <v>1.1886814672009901E-6</v>
      </c>
      <c r="AJ16" s="27">
        <v>0.19602114198413101</v>
      </c>
      <c r="AL16" s="24" t="s">
        <v>113</v>
      </c>
      <c r="AM16" s="27">
        <f t="shared" ref="AM16:BB16" si="13">U16-B16</f>
        <v>-7.1928612796780715E-3</v>
      </c>
      <c r="AN16" s="27">
        <f t="shared" si="13"/>
        <v>-7.5577219237061679E-3</v>
      </c>
      <c r="AO16" s="27">
        <f t="shared" si="13"/>
        <v>4.0043704549376766E-2</v>
      </c>
      <c r="AP16" s="27">
        <f t="shared" si="13"/>
        <v>-4.0331388154567049E-2</v>
      </c>
      <c r="AQ16" s="27">
        <f t="shared" si="13"/>
        <v>5.8253200363772677E-2</v>
      </c>
      <c r="AR16" s="27">
        <f t="shared" si="13"/>
        <v>-8.0579143397964507E-3</v>
      </c>
      <c r="AS16" s="27">
        <f t="shared" si="13"/>
        <v>2.2611027824012298E-3</v>
      </c>
      <c r="AT16" s="27">
        <f t="shared" si="13"/>
        <v>-7.007190100797582E-3</v>
      </c>
      <c r="AU16" s="27">
        <f t="shared" si="13"/>
        <v>-1.4398243777006567E-2</v>
      </c>
      <c r="AV16" s="27">
        <f t="shared" si="13"/>
        <v>-2.6206116238825995E-2</v>
      </c>
      <c r="AW16" s="27">
        <f t="shared" si="13"/>
        <v>-2.9526431546562211E-2</v>
      </c>
      <c r="AX16" s="27">
        <f t="shared" si="13"/>
        <v>-2.4753096039758924E-2</v>
      </c>
      <c r="AY16" s="27">
        <f t="shared" si="13"/>
        <v>-4.7196955475888452E-2</v>
      </c>
      <c r="AZ16" s="27">
        <f t="shared" si="13"/>
        <v>-1.7851893861951684E-2</v>
      </c>
      <c r="BA16" s="27">
        <f t="shared" si="13"/>
        <v>-2.4735053234965495E-2</v>
      </c>
      <c r="BB16" s="27">
        <f t="shared" si="13"/>
        <v>0.16391940865811533</v>
      </c>
    </row>
    <row r="17" spans="1:54" ht="14.4" x14ac:dyDescent="0.3">
      <c r="A17" s="24" t="s">
        <v>114</v>
      </c>
      <c r="B17" s="25">
        <v>1.4286694404218854E-3</v>
      </c>
      <c r="C17" s="25">
        <v>1.6411757569444756E-3</v>
      </c>
      <c r="D17" s="25">
        <v>5.3562069818688797E-4</v>
      </c>
      <c r="E17" s="25">
        <v>3.173775301514541E-3</v>
      </c>
      <c r="F17" s="25">
        <v>1.0624523916998676E-3</v>
      </c>
      <c r="G17" s="25">
        <v>1.0523977291629538E-3</v>
      </c>
      <c r="H17" s="25">
        <v>5.4486885312389477E-4</v>
      </c>
      <c r="I17" s="25">
        <v>7.1726243191949125E-4</v>
      </c>
      <c r="J17" s="25">
        <v>4.5491379275532312E-3</v>
      </c>
      <c r="K17" s="25">
        <v>1.6219486645382532E-3</v>
      </c>
      <c r="L17" s="25">
        <v>2.16482405170798E-3</v>
      </c>
      <c r="M17" s="25">
        <v>2.6395372006271264E-3</v>
      </c>
      <c r="N17" s="25">
        <v>7.0281813221932015E-3</v>
      </c>
      <c r="O17" s="25">
        <v>1.1048645004632538E-3</v>
      </c>
      <c r="P17" s="25">
        <v>6.2896947568432428E-3</v>
      </c>
      <c r="Q17" s="25">
        <v>3.9722616430748576E-3</v>
      </c>
      <c r="R17" s="26"/>
      <c r="S17" s="26"/>
      <c r="T17" s="24" t="s">
        <v>114</v>
      </c>
      <c r="U17" s="27">
        <v>3.7134903530534301E-3</v>
      </c>
      <c r="V17" s="27">
        <v>2.0999409219107999E-2</v>
      </c>
      <c r="W17" s="27">
        <v>1.5809727728019901E-3</v>
      </c>
      <c r="X17" s="27">
        <v>1.3048437665961199E-3</v>
      </c>
      <c r="Y17" s="27">
        <v>4.4484040323156002E-4</v>
      </c>
      <c r="Z17" s="27">
        <v>4.1359321890398599E-8</v>
      </c>
      <c r="AA17" s="27">
        <v>6.7322378264306605E-4</v>
      </c>
      <c r="AB17" s="27">
        <v>5.8961456370997998E-4</v>
      </c>
      <c r="AC17" s="27">
        <v>4.1773122326974297E-8</v>
      </c>
      <c r="AD17" s="27">
        <v>7.4120820118724599E-8</v>
      </c>
      <c r="AE17" s="27">
        <v>1.43731927433604E-4</v>
      </c>
      <c r="AF17" s="27">
        <v>3.2573153304189399E-5</v>
      </c>
      <c r="AG17" s="27">
        <v>2.3861165231645601E-7</v>
      </c>
      <c r="AH17" s="27">
        <v>2.7965692133597901E-4</v>
      </c>
      <c r="AI17" s="27">
        <v>1.30839405808457E-3</v>
      </c>
      <c r="AJ17" s="27">
        <v>8.2925238790321605E-5</v>
      </c>
      <c r="AL17" s="24" t="s">
        <v>114</v>
      </c>
      <c r="AM17" s="27">
        <f t="shared" ref="AM17:BB17" si="14">U17-B17</f>
        <v>2.2848209126315449E-3</v>
      </c>
      <c r="AN17" s="27">
        <f t="shared" si="14"/>
        <v>1.9358233462163525E-2</v>
      </c>
      <c r="AO17" s="27">
        <f t="shared" si="14"/>
        <v>1.0453520746151021E-3</v>
      </c>
      <c r="AP17" s="27">
        <f t="shared" si="14"/>
        <v>-1.8689315349184211E-3</v>
      </c>
      <c r="AQ17" s="27">
        <f t="shared" si="14"/>
        <v>-6.1761198846830754E-4</v>
      </c>
      <c r="AR17" s="27">
        <f t="shared" si="14"/>
        <v>-1.0523563698410633E-3</v>
      </c>
      <c r="AS17" s="27">
        <f t="shared" si="14"/>
        <v>1.2835492951917128E-4</v>
      </c>
      <c r="AT17" s="27">
        <f t="shared" si="14"/>
        <v>-1.2764786820951128E-4</v>
      </c>
      <c r="AU17" s="27">
        <f t="shared" si="14"/>
        <v>-4.5490961544309046E-3</v>
      </c>
      <c r="AV17" s="27">
        <f t="shared" si="14"/>
        <v>-1.6218745437181345E-3</v>
      </c>
      <c r="AW17" s="27">
        <f t="shared" si="14"/>
        <v>-2.0210921242743759E-3</v>
      </c>
      <c r="AX17" s="27">
        <f t="shared" si="14"/>
        <v>-2.606964047322937E-3</v>
      </c>
      <c r="AY17" s="27">
        <f t="shared" si="14"/>
        <v>-7.0279427105408854E-3</v>
      </c>
      <c r="AZ17" s="27">
        <f t="shared" si="14"/>
        <v>-8.2520757912727489E-4</v>
      </c>
      <c r="BA17" s="27">
        <f t="shared" si="14"/>
        <v>-4.9813006987586726E-3</v>
      </c>
      <c r="BB17" s="27">
        <f t="shared" si="14"/>
        <v>-3.8893364042845362E-3</v>
      </c>
    </row>
    <row r="18" spans="1:54" ht="14.4" x14ac:dyDescent="0.3">
      <c r="A18" s="24" t="s">
        <v>115</v>
      </c>
      <c r="B18" s="25">
        <v>1.9231841553561005E-3</v>
      </c>
      <c r="C18" s="25">
        <v>2.0503335276466496E-3</v>
      </c>
      <c r="D18" s="25">
        <v>2.2868848482115621E-3</v>
      </c>
      <c r="E18" s="25">
        <v>5.9651502975706146E-3</v>
      </c>
      <c r="F18" s="25">
        <v>2.2396221292463471E-2</v>
      </c>
      <c r="G18" s="25">
        <v>3.2309768797420964E-3</v>
      </c>
      <c r="H18" s="25">
        <v>4.180424738621155E-3</v>
      </c>
      <c r="I18" s="25">
        <v>1.1064115736649364E-2</v>
      </c>
      <c r="J18" s="25">
        <v>8.862121813090925E-3</v>
      </c>
      <c r="K18" s="25">
        <v>8.062864805136849E-3</v>
      </c>
      <c r="L18" s="25">
        <v>2.4987120969947107E-2</v>
      </c>
      <c r="M18" s="25">
        <v>1.624461301069503E-2</v>
      </c>
      <c r="N18" s="25">
        <v>0.15788011785250466</v>
      </c>
      <c r="O18" s="25">
        <v>6.6398253271997562E-3</v>
      </c>
      <c r="P18" s="25">
        <v>6.9901689391881836E-2</v>
      </c>
      <c r="Q18" s="25">
        <v>2.4668401484771677E-2</v>
      </c>
      <c r="R18" s="21"/>
      <c r="S18" s="26"/>
      <c r="T18" s="24" t="s">
        <v>115</v>
      </c>
      <c r="U18" s="27">
        <v>5.55815125349203E-4</v>
      </c>
      <c r="V18" s="27">
        <v>3.1430778479821799E-3</v>
      </c>
      <c r="W18" s="27">
        <v>2.3663144275198699E-4</v>
      </c>
      <c r="X18" s="27">
        <v>1.95301948501202E-4</v>
      </c>
      <c r="Y18" s="27">
        <v>6.6581302487897596E-5</v>
      </c>
      <c r="Z18" s="27">
        <v>6.1904393159303403E-9</v>
      </c>
      <c r="AA18" s="27">
        <v>1.00764489890258E-4</v>
      </c>
      <c r="AB18" s="27">
        <v>8.8250314792581301E-5</v>
      </c>
      <c r="AC18" s="27">
        <v>1.56453962765918E-3</v>
      </c>
      <c r="AD18" s="27">
        <v>1.1094002948304401E-8</v>
      </c>
      <c r="AE18" s="27">
        <v>2.15130165068296E-5</v>
      </c>
      <c r="AF18" s="27">
        <v>4.7946834664507103E-2</v>
      </c>
      <c r="AG18" s="27">
        <v>0.99999479716541695</v>
      </c>
      <c r="AH18" s="27">
        <v>4.1857533481760703E-5</v>
      </c>
      <c r="AI18" s="27">
        <v>1.9583333690431401E-4</v>
      </c>
      <c r="AJ18" s="27">
        <v>1.24118006540549E-5</v>
      </c>
      <c r="AL18" s="24" t="s">
        <v>115</v>
      </c>
      <c r="AM18" s="27">
        <f t="shared" ref="AM18:BB18" si="15">U18-B18</f>
        <v>-1.3673690300068974E-3</v>
      </c>
      <c r="AN18" s="27">
        <f t="shared" si="15"/>
        <v>1.0927443203355303E-3</v>
      </c>
      <c r="AO18" s="27">
        <f t="shared" si="15"/>
        <v>-2.0502534054595749E-3</v>
      </c>
      <c r="AP18" s="27">
        <f t="shared" si="15"/>
        <v>-5.7698483490694124E-3</v>
      </c>
      <c r="AQ18" s="27">
        <f t="shared" si="15"/>
        <v>-2.2329639989975572E-2</v>
      </c>
      <c r="AR18" s="27">
        <f t="shared" si="15"/>
        <v>-3.2309706893027803E-3</v>
      </c>
      <c r="AS18" s="27">
        <f t="shared" si="15"/>
        <v>-4.0796602487308967E-3</v>
      </c>
      <c r="AT18" s="27">
        <f t="shared" si="15"/>
        <v>-1.0975865421856783E-2</v>
      </c>
      <c r="AU18" s="27">
        <f t="shared" si="15"/>
        <v>-7.297582185431745E-3</v>
      </c>
      <c r="AV18" s="27">
        <f t="shared" si="15"/>
        <v>-8.0628537111339001E-3</v>
      </c>
      <c r="AW18" s="27">
        <f t="shared" si="15"/>
        <v>-2.4965607953440279E-2</v>
      </c>
      <c r="AX18" s="27">
        <f t="shared" si="15"/>
        <v>3.1702221653812077E-2</v>
      </c>
      <c r="AY18" s="27">
        <f t="shared" si="15"/>
        <v>0.84211467931291228</v>
      </c>
      <c r="AZ18" s="27">
        <f t="shared" si="15"/>
        <v>-6.5979677937179956E-3</v>
      </c>
      <c r="BA18" s="27">
        <f t="shared" si="15"/>
        <v>-6.9705856054977519E-2</v>
      </c>
      <c r="BB18" s="27">
        <f t="shared" si="15"/>
        <v>-2.4655989684117623E-2</v>
      </c>
    </row>
    <row r="19" spans="1:54" ht="14.4" x14ac:dyDescent="0.3">
      <c r="A19" s="24" t="s">
        <v>116</v>
      </c>
      <c r="B19" s="25">
        <v>5.1239329419169258E-4</v>
      </c>
      <c r="C19" s="25">
        <v>5.5181264051300195E-4</v>
      </c>
      <c r="D19" s="25">
        <v>4.5596937875760473E-4</v>
      </c>
      <c r="E19" s="25">
        <v>2.2488684869423569E-3</v>
      </c>
      <c r="F19" s="25">
        <v>4.2404438434417002E-3</v>
      </c>
      <c r="G19" s="25">
        <v>1.0097954066768024E-3</v>
      </c>
      <c r="H19" s="25">
        <v>1.8290010500488025E-2</v>
      </c>
      <c r="I19" s="25">
        <v>0.27206223310840755</v>
      </c>
      <c r="J19" s="25">
        <v>1.7034272580781205E-3</v>
      </c>
      <c r="K19" s="25">
        <v>1.2270160636845765E-3</v>
      </c>
      <c r="L19" s="25">
        <v>3.5715787728336458E-3</v>
      </c>
      <c r="M19" s="25">
        <v>3.5867059090973117E-3</v>
      </c>
      <c r="N19" s="25">
        <v>4.2856516481004428E-2</v>
      </c>
      <c r="O19" s="25">
        <v>1.6338102497766508E-3</v>
      </c>
      <c r="P19" s="25">
        <v>0.22602997751688103</v>
      </c>
      <c r="Q19" s="25">
        <v>8.9310303930503869E-3</v>
      </c>
      <c r="R19" s="7"/>
      <c r="S19" s="7"/>
      <c r="T19" s="24" t="s">
        <v>116</v>
      </c>
      <c r="U19" s="27">
        <v>4.4257976367738302E-7</v>
      </c>
      <c r="V19" s="27">
        <v>2.5027434262527698E-6</v>
      </c>
      <c r="W19" s="27">
        <v>1.8842288242158801E-7</v>
      </c>
      <c r="X19" s="27">
        <v>1.5551338254619999E-7</v>
      </c>
      <c r="Y19" s="27">
        <v>5.3016796010926399E-8</v>
      </c>
      <c r="Z19" s="27">
        <v>4.9292706235411103E-12</v>
      </c>
      <c r="AA19" s="27">
        <v>2.4822925372051301E-4</v>
      </c>
      <c r="AB19" s="27">
        <v>0.68949510189882701</v>
      </c>
      <c r="AC19" s="27">
        <v>4.9785880263125298E-12</v>
      </c>
      <c r="AD19" s="27">
        <v>8.8338387697023496E-12</v>
      </c>
      <c r="AE19" s="27">
        <v>1.71302027011201E-8</v>
      </c>
      <c r="AF19" s="27">
        <v>3.8821208946299097E-9</v>
      </c>
      <c r="AG19" s="27">
        <v>2.8438121188615102E-11</v>
      </c>
      <c r="AH19" s="27">
        <v>3.3329962484984598E-8</v>
      </c>
      <c r="AI19" s="27">
        <v>1.5593651200623901E-7</v>
      </c>
      <c r="AJ19" s="27">
        <v>7.24282250462899E-3</v>
      </c>
      <c r="AL19" s="24" t="s">
        <v>116</v>
      </c>
      <c r="AM19" s="27">
        <f t="shared" ref="AM19:BB19" si="16">U19-B19</f>
        <v>-5.1195071442801518E-4</v>
      </c>
      <c r="AN19" s="27">
        <f t="shared" si="16"/>
        <v>-5.4930989708674917E-4</v>
      </c>
      <c r="AO19" s="27">
        <f t="shared" si="16"/>
        <v>-4.5578095587518313E-4</v>
      </c>
      <c r="AP19" s="27">
        <f t="shared" si="16"/>
        <v>-2.2487129735598108E-3</v>
      </c>
      <c r="AQ19" s="27">
        <f t="shared" si="16"/>
        <v>-4.2403908266456895E-3</v>
      </c>
      <c r="AR19" s="27">
        <f t="shared" si="16"/>
        <v>-1.0097954017475319E-3</v>
      </c>
      <c r="AS19" s="27">
        <f t="shared" si="16"/>
        <v>-1.8041781246767512E-2</v>
      </c>
      <c r="AT19" s="27">
        <f t="shared" si="16"/>
        <v>0.41743286879041946</v>
      </c>
      <c r="AU19" s="27">
        <f t="shared" si="16"/>
        <v>-1.7034272530995324E-3</v>
      </c>
      <c r="AV19" s="27">
        <f t="shared" si="16"/>
        <v>-1.2270160548507377E-3</v>
      </c>
      <c r="AW19" s="27">
        <f t="shared" si="16"/>
        <v>-3.5715616426309446E-3</v>
      </c>
      <c r="AX19" s="27">
        <f t="shared" si="16"/>
        <v>-3.586702026976417E-3</v>
      </c>
      <c r="AY19" s="27">
        <f t="shared" si="16"/>
        <v>-4.2856516452566308E-2</v>
      </c>
      <c r="AZ19" s="27">
        <f t="shared" si="16"/>
        <v>-1.6337769198141658E-3</v>
      </c>
      <c r="BA19" s="27">
        <f t="shared" si="16"/>
        <v>-0.22602982158036902</v>
      </c>
      <c r="BB19" s="27">
        <f t="shared" si="16"/>
        <v>-1.6882078884213969E-3</v>
      </c>
    </row>
    <row r="20" spans="1:54" ht="14.4" x14ac:dyDescent="0.3">
      <c r="A20" s="24" t="s">
        <v>117</v>
      </c>
      <c r="B20" s="25">
        <v>9.7060404842117289E-3</v>
      </c>
      <c r="C20" s="25">
        <v>1.0944155190555275E-2</v>
      </c>
      <c r="D20" s="25">
        <v>5.9157566042435895E-3</v>
      </c>
      <c r="E20" s="25">
        <v>2.2197641943082994E-2</v>
      </c>
      <c r="F20" s="25">
        <v>3.3165065196551942E-3</v>
      </c>
      <c r="G20" s="25">
        <v>1.1039604500656608E-2</v>
      </c>
      <c r="H20" s="25">
        <v>6.2635898831210164E-3</v>
      </c>
      <c r="I20" s="25">
        <v>7.2915128936273848E-3</v>
      </c>
      <c r="J20" s="25">
        <v>1.3414028541550315E-2</v>
      </c>
      <c r="K20" s="25">
        <v>7.4813071288594721E-3</v>
      </c>
      <c r="L20" s="25">
        <v>2.7451516761551976E-2</v>
      </c>
      <c r="M20" s="25">
        <v>0.43142630062211546</v>
      </c>
      <c r="N20" s="25">
        <v>1.3818073281471858E-2</v>
      </c>
      <c r="O20" s="25">
        <v>1.0862131180166686E-2</v>
      </c>
      <c r="P20" s="25">
        <v>1.799869786201215E-2</v>
      </c>
      <c r="Q20" s="25">
        <v>1.993971275471455E-2</v>
      </c>
      <c r="R20" s="7"/>
      <c r="S20" s="7"/>
      <c r="T20" s="24" t="s">
        <v>117</v>
      </c>
      <c r="U20" s="27">
        <v>2.2779310062884501E-6</v>
      </c>
      <c r="V20" s="27">
        <v>1.28814675214151E-5</v>
      </c>
      <c r="W20" s="27">
        <v>9.6980106500136495E-7</v>
      </c>
      <c r="X20" s="27">
        <v>8.0041787959608297E-7</v>
      </c>
      <c r="Y20" s="27">
        <v>2.7287421025284998E-7</v>
      </c>
      <c r="Z20" s="27">
        <v>2.53706547684276E-11</v>
      </c>
      <c r="AA20" s="27">
        <v>0.33694213189747102</v>
      </c>
      <c r="AB20" s="27">
        <v>3.6168164415179802E-7</v>
      </c>
      <c r="AC20" s="27">
        <v>2.56244884276738E-11</v>
      </c>
      <c r="AD20" s="27">
        <v>4.5467228485228498E-11</v>
      </c>
      <c r="AE20" s="27">
        <v>8.8168106812339801E-8</v>
      </c>
      <c r="AF20" s="27">
        <v>1.1150138736587001E-3</v>
      </c>
      <c r="AG20" s="27">
        <v>1.4636927246261601E-10</v>
      </c>
      <c r="AH20" s="27">
        <v>1.71547280770662E-7</v>
      </c>
      <c r="AI20" s="27">
        <v>8.0259570107776696E-7</v>
      </c>
      <c r="AJ20" s="27">
        <v>5.08680391451741E-8</v>
      </c>
      <c r="AL20" s="24" t="s">
        <v>117</v>
      </c>
      <c r="AM20" s="27">
        <f t="shared" ref="AM20:BB20" si="17">U20-B20</f>
        <v>-9.703762553205441E-3</v>
      </c>
      <c r="AN20" s="27">
        <f t="shared" si="17"/>
        <v>-1.093127372303386E-2</v>
      </c>
      <c r="AO20" s="27">
        <f t="shared" si="17"/>
        <v>-5.9147868031785879E-3</v>
      </c>
      <c r="AP20" s="27">
        <f t="shared" si="17"/>
        <v>-2.2196841525203397E-2</v>
      </c>
      <c r="AQ20" s="27">
        <f t="shared" si="17"/>
        <v>-3.3162336454449414E-3</v>
      </c>
      <c r="AR20" s="27">
        <f t="shared" si="17"/>
        <v>-1.1039604475285953E-2</v>
      </c>
      <c r="AS20" s="27">
        <f t="shared" si="17"/>
        <v>0.33067854201434999</v>
      </c>
      <c r="AT20" s="27">
        <f t="shared" si="17"/>
        <v>-7.2911512119832331E-3</v>
      </c>
      <c r="AU20" s="27">
        <f t="shared" si="17"/>
        <v>-1.3414028515925826E-2</v>
      </c>
      <c r="AV20" s="27">
        <f t="shared" si="17"/>
        <v>-7.481307083392244E-3</v>
      </c>
      <c r="AW20" s="27">
        <f t="shared" si="17"/>
        <v>-2.7451428593445164E-2</v>
      </c>
      <c r="AX20" s="27">
        <f t="shared" si="17"/>
        <v>-0.43031128674845676</v>
      </c>
      <c r="AY20" s="27">
        <f t="shared" si="17"/>
        <v>-1.3818073135102586E-2</v>
      </c>
      <c r="AZ20" s="27">
        <f t="shared" si="17"/>
        <v>-1.0861959632885915E-2</v>
      </c>
      <c r="BA20" s="27">
        <f t="shared" si="17"/>
        <v>-1.7997895266311074E-2</v>
      </c>
      <c r="BB20" s="27">
        <f t="shared" si="17"/>
        <v>-1.9939661886675404E-2</v>
      </c>
    </row>
    <row r="21" spans="1:54" ht="15.75" customHeight="1" x14ac:dyDescent="0.3">
      <c r="A21" s="24" t="s">
        <v>118</v>
      </c>
      <c r="B21" s="25">
        <v>1.5748245177744052E-3</v>
      </c>
      <c r="C21" s="25">
        <v>1.660634269799422E-3</v>
      </c>
      <c r="D21" s="25">
        <v>5.8528920158637653E-3</v>
      </c>
      <c r="E21" s="25">
        <v>1.4621952041194066E-2</v>
      </c>
      <c r="F21" s="25">
        <v>1.8375366051234139E-2</v>
      </c>
      <c r="G21" s="25">
        <v>2.5659674979538862E-3</v>
      </c>
      <c r="H21" s="25">
        <v>1.7559197528482031E-2</v>
      </c>
      <c r="I21" s="25">
        <v>0.22424362586009211</v>
      </c>
      <c r="J21" s="25">
        <v>3.1999197261240995E-3</v>
      </c>
      <c r="K21" s="25">
        <v>3.0852747036727618E-3</v>
      </c>
      <c r="L21" s="25">
        <v>8.5852612687174201E-3</v>
      </c>
      <c r="M21" s="25">
        <v>8.8672711658226863E-2</v>
      </c>
      <c r="N21" s="25">
        <v>1.94555827287375E-2</v>
      </c>
      <c r="O21" s="25">
        <v>1.8884181220885896E-2</v>
      </c>
      <c r="P21" s="25">
        <v>2.1055557554178688E-2</v>
      </c>
      <c r="Q21" s="25">
        <v>2.8258217877482346E-2</v>
      </c>
      <c r="R21" s="7"/>
      <c r="S21" s="7"/>
      <c r="T21" s="24" t="s">
        <v>118</v>
      </c>
      <c r="U21" s="27">
        <v>4.0336782239714797E-5</v>
      </c>
      <c r="V21" s="27">
        <v>2.2810038974177901E-4</v>
      </c>
      <c r="W21" s="27">
        <v>0.221904488949388</v>
      </c>
      <c r="X21" s="27">
        <v>1.4173511673932201E-5</v>
      </c>
      <c r="Y21" s="27">
        <v>4.8319582846968603E-6</v>
      </c>
      <c r="Z21" s="27">
        <v>4.4925442159921601E-10</v>
      </c>
      <c r="AA21" s="27">
        <v>0.27447611604370198</v>
      </c>
      <c r="AB21" s="27">
        <v>3.27762176672943E-2</v>
      </c>
      <c r="AC21" s="27">
        <v>5.75149949555749E-8</v>
      </c>
      <c r="AD21" s="27">
        <v>8.0511731452317095E-10</v>
      </c>
      <c r="AE21" s="27">
        <v>5.0835030283713305E-4</v>
      </c>
      <c r="AF21" s="27">
        <v>2.0759397899233198E-6</v>
      </c>
      <c r="AG21" s="27">
        <v>2.5918543861123398E-9</v>
      </c>
      <c r="AH21" s="27">
        <v>3.03769749354083E-6</v>
      </c>
      <c r="AI21" s="27">
        <v>0.71916211548286002</v>
      </c>
      <c r="AJ21" s="27">
        <v>3.7550664436348503E-2</v>
      </c>
      <c r="AL21" s="24" t="s">
        <v>118</v>
      </c>
      <c r="AM21" s="27">
        <f t="shared" ref="AM21:BB21" si="18">U21-B21</f>
        <v>-1.5344877355346904E-3</v>
      </c>
      <c r="AN21" s="27">
        <f t="shared" si="18"/>
        <v>-1.432533880057643E-3</v>
      </c>
      <c r="AO21" s="27">
        <f t="shared" si="18"/>
        <v>0.21605159693352424</v>
      </c>
      <c r="AP21" s="27">
        <f t="shared" si="18"/>
        <v>-1.4607778529520134E-2</v>
      </c>
      <c r="AQ21" s="27">
        <f t="shared" si="18"/>
        <v>-1.8370534092949441E-2</v>
      </c>
      <c r="AR21" s="27">
        <f t="shared" si="18"/>
        <v>-2.5659670486994648E-3</v>
      </c>
      <c r="AS21" s="27">
        <f t="shared" si="18"/>
        <v>0.25691691851521997</v>
      </c>
      <c r="AT21" s="27">
        <f t="shared" si="18"/>
        <v>-0.19146740819279781</v>
      </c>
      <c r="AU21" s="27">
        <f t="shared" si="18"/>
        <v>-3.199862211129144E-3</v>
      </c>
      <c r="AV21" s="27">
        <f t="shared" si="18"/>
        <v>-3.0852738985554474E-3</v>
      </c>
      <c r="AW21" s="27">
        <f t="shared" si="18"/>
        <v>-8.0769109658802869E-3</v>
      </c>
      <c r="AX21" s="27">
        <f t="shared" si="18"/>
        <v>-8.8670635718436946E-2</v>
      </c>
      <c r="AY21" s="27">
        <f t="shared" si="18"/>
        <v>-1.9455580136883113E-2</v>
      </c>
      <c r="AZ21" s="27">
        <f t="shared" si="18"/>
        <v>-1.8881143523392357E-2</v>
      </c>
      <c r="BA21" s="27">
        <f t="shared" si="18"/>
        <v>0.69810655792868137</v>
      </c>
      <c r="BB21" s="27">
        <f t="shared" si="18"/>
        <v>9.2924465588661576E-3</v>
      </c>
    </row>
    <row r="22" spans="1:54" ht="15.75" customHeight="1" x14ac:dyDescent="0.3">
      <c r="A22" s="28" t="s">
        <v>75</v>
      </c>
      <c r="B22" s="29">
        <f t="shared" ref="B22:Q22" si="19">SUM(B3:B21)</f>
        <v>1.0000000000000011</v>
      </c>
      <c r="C22" s="29">
        <f t="shared" si="19"/>
        <v>1.0000000000000007</v>
      </c>
      <c r="D22" s="29">
        <f t="shared" si="19"/>
        <v>1.0000000000000029</v>
      </c>
      <c r="E22" s="29">
        <f t="shared" si="19"/>
        <v>1.0000000000000013</v>
      </c>
      <c r="F22" s="29">
        <f t="shared" si="19"/>
        <v>1.0000000000000013</v>
      </c>
      <c r="G22" s="29">
        <f t="shared" si="19"/>
        <v>1.0000000000000013</v>
      </c>
      <c r="H22" s="29">
        <f t="shared" si="19"/>
        <v>1.0000000000000011</v>
      </c>
      <c r="I22" s="29">
        <f t="shared" si="19"/>
        <v>0.99999999999999956</v>
      </c>
      <c r="J22" s="29">
        <f t="shared" si="19"/>
        <v>1.0000000000000018</v>
      </c>
      <c r="K22" s="29">
        <f t="shared" si="19"/>
        <v>1.0000000000000004</v>
      </c>
      <c r="L22" s="29">
        <f t="shared" si="19"/>
        <v>1.0000000000000016</v>
      </c>
      <c r="M22" s="29">
        <f t="shared" si="19"/>
        <v>0.99999999999999889</v>
      </c>
      <c r="N22" s="29">
        <f t="shared" si="19"/>
        <v>1.0000000000000011</v>
      </c>
      <c r="O22" s="29">
        <f t="shared" si="19"/>
        <v>1.0000000000000004</v>
      </c>
      <c r="P22" s="29">
        <f t="shared" si="19"/>
        <v>1.0000000000000013</v>
      </c>
      <c r="Q22" s="29">
        <f t="shared" si="19"/>
        <v>1.0000000000000013</v>
      </c>
      <c r="R22" s="7"/>
      <c r="S22" s="7"/>
      <c r="T22" s="7"/>
      <c r="U22" s="27">
        <f t="shared" ref="U22:AJ22" si="20">SUM(U3:U21)</f>
        <v>1.0000000000000004</v>
      </c>
      <c r="V22" s="27">
        <f t="shared" si="20"/>
        <v>1.0000000000000009</v>
      </c>
      <c r="W22" s="27">
        <f t="shared" si="20"/>
        <v>1.0000000000000002</v>
      </c>
      <c r="X22" s="27">
        <f t="shared" si="20"/>
        <v>1</v>
      </c>
      <c r="Y22" s="27">
        <f t="shared" si="20"/>
        <v>1.0000000000000002</v>
      </c>
      <c r="Z22" s="27">
        <f t="shared" si="20"/>
        <v>0.99999999999999978</v>
      </c>
      <c r="AA22" s="27">
        <f t="shared" si="20"/>
        <v>1</v>
      </c>
      <c r="AB22" s="27">
        <f t="shared" si="20"/>
        <v>1.0000000000000004</v>
      </c>
      <c r="AC22" s="27">
        <f t="shared" si="20"/>
        <v>1.0000000000000002</v>
      </c>
      <c r="AD22" s="27">
        <f t="shared" si="20"/>
        <v>1</v>
      </c>
      <c r="AE22" s="27">
        <f t="shared" si="20"/>
        <v>0.99999999999999967</v>
      </c>
      <c r="AF22" s="27">
        <f t="shared" si="20"/>
        <v>1.0000000000000004</v>
      </c>
      <c r="AG22" s="27">
        <f t="shared" si="20"/>
        <v>0.99999999999999944</v>
      </c>
      <c r="AH22" s="27">
        <f t="shared" si="20"/>
        <v>1.0000000000000004</v>
      </c>
      <c r="AI22" s="27">
        <f t="shared" si="20"/>
        <v>1.0000000000000009</v>
      </c>
      <c r="AJ22" s="27">
        <f t="shared" si="20"/>
        <v>1.0000000000000002</v>
      </c>
    </row>
    <row r="23" spans="1:54" ht="15.75" customHeight="1" x14ac:dyDescent="0.3">
      <c r="A23" s="30" t="s">
        <v>119</v>
      </c>
      <c r="B23" s="30" t="s">
        <v>120</v>
      </c>
      <c r="C23" s="30" t="s">
        <v>121</v>
      </c>
      <c r="D23" s="30" t="s">
        <v>122</v>
      </c>
      <c r="E23" s="30" t="s">
        <v>123</v>
      </c>
      <c r="F23" s="30" t="s">
        <v>124</v>
      </c>
      <c r="G23" s="31"/>
      <c r="H23" s="31"/>
      <c r="I23" s="31"/>
      <c r="J23" s="24"/>
      <c r="K23" s="24"/>
      <c r="L23" s="24"/>
      <c r="M23" s="24"/>
      <c r="N23" s="24"/>
      <c r="O23" s="24"/>
      <c r="P23" s="24"/>
      <c r="Q23" s="24"/>
      <c r="R23" s="7"/>
      <c r="S23" s="7"/>
      <c r="T23" s="7"/>
    </row>
    <row r="24" spans="1:54" ht="15.75" customHeight="1" x14ac:dyDescent="0.3">
      <c r="A24" s="30" t="s">
        <v>125</v>
      </c>
      <c r="B24" s="32">
        <v>8195.6344899365595</v>
      </c>
      <c r="C24" s="32">
        <v>16905.400000000001</v>
      </c>
      <c r="D24" s="32">
        <v>20037.540169554501</v>
      </c>
      <c r="E24" s="32">
        <v>24814.608496203298</v>
      </c>
      <c r="F24" s="32">
        <v>34110.630253612297</v>
      </c>
      <c r="G24" s="33">
        <v>103050</v>
      </c>
      <c r="H24" s="34">
        <v>1000000</v>
      </c>
      <c r="I24" s="33">
        <v>10000000</v>
      </c>
      <c r="J24" s="24"/>
      <c r="K24" s="24"/>
      <c r="L24" s="24"/>
      <c r="M24" s="24"/>
      <c r="N24" s="24"/>
      <c r="O24" s="24"/>
      <c r="P24" s="24"/>
      <c r="Q24" s="24"/>
      <c r="R24" s="7"/>
      <c r="S24" s="7"/>
      <c r="T24" s="7"/>
    </row>
    <row r="25" spans="1:54" ht="15.75" customHeight="1" x14ac:dyDescent="0.3">
      <c r="A25" s="30" t="s">
        <v>126</v>
      </c>
      <c r="B25" s="33">
        <v>1.1848000000000001</v>
      </c>
      <c r="C25" s="33">
        <v>0.91949999999999998</v>
      </c>
      <c r="D25" s="33">
        <v>0.8407</v>
      </c>
      <c r="E25" s="33">
        <v>0.75919999999999999</v>
      </c>
      <c r="F25" s="33">
        <v>0.65449999999999997</v>
      </c>
      <c r="G25" s="33">
        <v>0.4</v>
      </c>
      <c r="H25" s="33">
        <v>0.2</v>
      </c>
      <c r="I25" s="33">
        <v>0.1</v>
      </c>
      <c r="J25" s="24"/>
      <c r="K25" s="24"/>
      <c r="L25" s="24"/>
      <c r="M25" s="24"/>
      <c r="N25" s="24"/>
      <c r="O25" s="24"/>
      <c r="P25" s="24"/>
      <c r="Q25" s="24"/>
      <c r="R25" s="7"/>
      <c r="S25" s="7"/>
      <c r="T25" s="7"/>
    </row>
    <row r="26" spans="1:54" ht="15.7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24"/>
      <c r="K26" s="24"/>
      <c r="L26" s="24"/>
      <c r="M26" s="24"/>
      <c r="N26" s="24"/>
      <c r="O26" s="24"/>
      <c r="P26" s="24"/>
      <c r="Q26" s="24"/>
      <c r="R26" s="7"/>
      <c r="S26" s="7"/>
      <c r="T26" s="7"/>
    </row>
    <row r="27" spans="1:54" ht="15.75" customHeight="1" x14ac:dyDescent="0.3">
      <c r="A27" s="30" t="s">
        <v>127</v>
      </c>
      <c r="B27" s="32">
        <v>8195.6344899365595</v>
      </c>
      <c r="C27" s="32">
        <v>16905.400000000001</v>
      </c>
      <c r="D27" s="32">
        <v>20037.540169554501</v>
      </c>
      <c r="E27" s="32">
        <v>24814.608496203298</v>
      </c>
      <c r="F27" s="32">
        <v>34110.630253612297</v>
      </c>
      <c r="G27" s="34">
        <v>1000000</v>
      </c>
      <c r="H27" s="31"/>
      <c r="I27" s="31"/>
      <c r="J27" s="24"/>
      <c r="K27" s="24"/>
      <c r="L27" s="24"/>
      <c r="M27" s="24"/>
      <c r="N27" s="24"/>
      <c r="O27" s="24"/>
      <c r="P27" s="24"/>
      <c r="Q27" s="24"/>
      <c r="R27" s="7"/>
      <c r="S27" s="7"/>
      <c r="T27" s="7"/>
    </row>
    <row r="28" spans="1:54" ht="15.75" customHeight="1" x14ac:dyDescent="0.3">
      <c r="A28" s="30" t="s">
        <v>84</v>
      </c>
      <c r="B28" s="33">
        <v>0.2097</v>
      </c>
      <c r="C28" s="33">
        <v>0.18870000000000001</v>
      </c>
      <c r="D28" s="33">
        <v>0.16</v>
      </c>
      <c r="E28" s="33">
        <v>0.1396</v>
      </c>
      <c r="F28" s="33">
        <v>0.1031</v>
      </c>
      <c r="G28" s="33">
        <v>0.1</v>
      </c>
      <c r="H28" s="31"/>
      <c r="I28" s="31"/>
      <c r="J28" s="24"/>
      <c r="K28" s="24"/>
      <c r="L28" s="24"/>
      <c r="M28" s="24"/>
      <c r="N28" s="24"/>
      <c r="O28" s="24"/>
      <c r="P28" s="24"/>
      <c r="Q28" s="24"/>
      <c r="R28" s="7"/>
      <c r="S28" s="7"/>
      <c r="T28" s="7"/>
    </row>
    <row r="29" spans="1:54" ht="15.75" customHeight="1" x14ac:dyDescent="0.3">
      <c r="A29" s="30" t="s">
        <v>85</v>
      </c>
      <c r="B29" s="33">
        <v>4.9000000000000002E-2</v>
      </c>
      <c r="C29" s="33">
        <v>3.9E-2</v>
      </c>
      <c r="D29" s="33">
        <v>4.1500000000000002E-2</v>
      </c>
      <c r="E29" s="33">
        <v>4.0599999999999997E-2</v>
      </c>
      <c r="F29" s="33">
        <v>3.61E-2</v>
      </c>
      <c r="G29" s="33">
        <v>1.4999999999999999E-2</v>
      </c>
      <c r="H29" s="31"/>
      <c r="I29" s="31"/>
      <c r="J29" s="24"/>
      <c r="K29" s="24"/>
      <c r="L29" s="24"/>
      <c r="M29" s="24"/>
      <c r="N29" s="24"/>
      <c r="O29" s="24"/>
      <c r="P29" s="24"/>
      <c r="Q29" s="24"/>
      <c r="R29" s="7"/>
      <c r="S29" s="7"/>
      <c r="T29" s="7"/>
    </row>
    <row r="30" spans="1:54" ht="15.75" customHeight="1" x14ac:dyDescent="0.3">
      <c r="A30" s="30" t="s">
        <v>86</v>
      </c>
      <c r="B30" s="33">
        <v>5.8500000000000003E-2</v>
      </c>
      <c r="C30" s="33">
        <v>6.2399999999999997E-2</v>
      </c>
      <c r="D30" s="33">
        <v>6.8699999999999997E-2</v>
      </c>
      <c r="E30" s="33">
        <v>6.6299999999999998E-2</v>
      </c>
      <c r="F30" s="33">
        <v>6.8400000000000002E-2</v>
      </c>
      <c r="G30" s="33">
        <v>0.06</v>
      </c>
      <c r="H30" s="31"/>
      <c r="I30" s="31"/>
      <c r="J30" s="24"/>
      <c r="K30" s="24"/>
      <c r="L30" s="24"/>
      <c r="M30" s="24"/>
      <c r="N30" s="24"/>
      <c r="O30" s="24"/>
      <c r="P30" s="24"/>
      <c r="Q30" s="24"/>
      <c r="R30" s="7"/>
      <c r="S30" s="7"/>
      <c r="T30" s="7"/>
    </row>
    <row r="31" spans="1:54" ht="15.75" customHeight="1" x14ac:dyDescent="0.3">
      <c r="A31" s="30" t="s">
        <v>87</v>
      </c>
      <c r="B31" s="33">
        <v>0.19750000000000001</v>
      </c>
      <c r="C31" s="33">
        <v>0.1835</v>
      </c>
      <c r="D31" s="33">
        <v>0.1699</v>
      </c>
      <c r="E31" s="33">
        <v>0.15809999999999999</v>
      </c>
      <c r="F31" s="33">
        <v>0.14610000000000001</v>
      </c>
      <c r="G31" s="33">
        <v>0.1</v>
      </c>
      <c r="H31" s="31"/>
      <c r="I31" s="31"/>
      <c r="J31" s="24"/>
      <c r="K31" s="24"/>
      <c r="L31" s="24"/>
      <c r="M31" s="24"/>
      <c r="N31" s="24"/>
      <c r="O31" s="24"/>
      <c r="P31" s="24"/>
      <c r="Q31" s="24"/>
      <c r="R31" s="7"/>
      <c r="S31" s="7"/>
      <c r="T31" s="7"/>
    </row>
    <row r="32" spans="1:54" ht="15.75" customHeight="1" x14ac:dyDescent="0.3">
      <c r="A32" s="30" t="s">
        <v>88</v>
      </c>
      <c r="B32" s="33">
        <v>2.5600000000000001E-2</v>
      </c>
      <c r="C32" s="33">
        <v>2.3E-2</v>
      </c>
      <c r="D32" s="33">
        <v>2.07E-2</v>
      </c>
      <c r="E32" s="33">
        <v>1.9199999999999998E-2</v>
      </c>
      <c r="F32" s="33">
        <v>1.66E-2</v>
      </c>
      <c r="G32" s="33">
        <v>2.5000000000000001E-2</v>
      </c>
      <c r="H32" s="31"/>
      <c r="I32" s="31"/>
      <c r="J32" s="24"/>
      <c r="K32" s="24"/>
      <c r="L32" s="24"/>
      <c r="M32" s="24"/>
      <c r="N32" s="24"/>
      <c r="O32" s="24"/>
      <c r="P32" s="24"/>
      <c r="Q32" s="24"/>
      <c r="R32" s="7"/>
      <c r="S32" s="7"/>
      <c r="T32" s="7"/>
    </row>
    <row r="33" spans="1:20" ht="15.75" customHeight="1" x14ac:dyDescent="0.3">
      <c r="A33" s="30" t="s">
        <v>89</v>
      </c>
      <c r="B33" s="33">
        <v>7.2999999999999995E-2</v>
      </c>
      <c r="C33" s="33">
        <v>5.79E-2</v>
      </c>
      <c r="D33" s="33">
        <v>4.7699999999999999E-2</v>
      </c>
      <c r="E33" s="33">
        <v>3.9300000000000002E-2</v>
      </c>
      <c r="F33" s="33">
        <v>2.7099999999999999E-2</v>
      </c>
      <c r="G33" s="33">
        <v>0.03</v>
      </c>
      <c r="H33" s="31"/>
      <c r="I33" s="31"/>
      <c r="J33" s="24"/>
      <c r="K33" s="24"/>
      <c r="L33" s="24"/>
      <c r="M33" s="24"/>
      <c r="N33" s="24"/>
      <c r="O33" s="24"/>
      <c r="P33" s="24"/>
      <c r="Q33" s="24"/>
      <c r="R33" s="7"/>
      <c r="S33" s="7"/>
      <c r="T33" s="7"/>
    </row>
    <row r="34" spans="1:20" ht="15.75" customHeight="1" x14ac:dyDescent="0.3">
      <c r="A34" s="30" t="s">
        <v>90</v>
      </c>
      <c r="B34" s="33">
        <v>5.8700000000000002E-2</v>
      </c>
      <c r="C34" s="33">
        <v>5.8000000000000003E-2</v>
      </c>
      <c r="D34" s="33">
        <v>5.9499999999999997E-2</v>
      </c>
      <c r="E34" s="33">
        <v>6.7699999999999996E-2</v>
      </c>
      <c r="F34" s="33">
        <v>8.1699999999999995E-2</v>
      </c>
      <c r="G34" s="33">
        <v>0.1</v>
      </c>
      <c r="H34" s="31"/>
      <c r="I34" s="31"/>
      <c r="J34" s="24"/>
      <c r="K34" s="24"/>
      <c r="L34" s="24"/>
      <c r="M34" s="24"/>
      <c r="N34" s="24"/>
      <c r="O34" s="24"/>
      <c r="P34" s="24"/>
      <c r="Q34" s="24"/>
      <c r="R34" s="7"/>
      <c r="S34" s="7"/>
      <c r="T34" s="7"/>
    </row>
    <row r="35" spans="1:20" ht="15.75" customHeight="1" x14ac:dyDescent="0.3">
      <c r="A35" s="30" t="s">
        <v>91</v>
      </c>
      <c r="B35" s="33">
        <v>3.6799999999999999E-2</v>
      </c>
      <c r="C35" s="33">
        <v>3.2300000000000002E-2</v>
      </c>
      <c r="D35" s="33">
        <v>3.09E-2</v>
      </c>
      <c r="E35" s="33">
        <v>2.8199999999999999E-2</v>
      </c>
      <c r="F35" s="33">
        <v>3.2199999999999999E-2</v>
      </c>
      <c r="G35" s="33">
        <v>4.4999999999999998E-2</v>
      </c>
      <c r="H35" s="31"/>
      <c r="I35" s="31"/>
      <c r="J35" s="24"/>
      <c r="K35" s="24"/>
      <c r="L35" s="24"/>
      <c r="M35" s="24"/>
      <c r="N35" s="24"/>
      <c r="O35" s="24"/>
      <c r="P35" s="24"/>
      <c r="Q35" s="24"/>
      <c r="R35" s="7"/>
      <c r="S35" s="7"/>
      <c r="T35" s="7"/>
    </row>
    <row r="36" spans="1:20" ht="15.75" customHeight="1" x14ac:dyDescent="0.3">
      <c r="A36" s="30" t="s">
        <v>92</v>
      </c>
      <c r="B36" s="33">
        <v>6.6400000000000001E-2</v>
      </c>
      <c r="C36" s="33">
        <v>8.7499999999999994E-2</v>
      </c>
      <c r="D36" s="33">
        <v>9.8699999999999996E-2</v>
      </c>
      <c r="E36" s="33">
        <v>0.1048</v>
      </c>
      <c r="F36" s="33">
        <v>0.12839999999999999</v>
      </c>
      <c r="G36" s="33">
        <v>0.15</v>
      </c>
      <c r="H36" s="31"/>
      <c r="I36" s="31"/>
      <c r="J36" s="24"/>
      <c r="K36" s="24"/>
      <c r="L36" s="24"/>
      <c r="M36" s="24"/>
      <c r="N36" s="24"/>
      <c r="O36" s="24"/>
      <c r="P36" s="24"/>
      <c r="Q36" s="24"/>
      <c r="R36" s="7"/>
      <c r="S36" s="7"/>
      <c r="T36" s="7"/>
    </row>
    <row r="37" spans="1:20" ht="15.75" customHeight="1" x14ac:dyDescent="0.3">
      <c r="A37" s="30" t="s">
        <v>93</v>
      </c>
      <c r="B37" s="33">
        <v>1.4200000000000001E-2</v>
      </c>
      <c r="C37" s="33">
        <v>1.52E-2</v>
      </c>
      <c r="D37" s="33">
        <v>1.55E-2</v>
      </c>
      <c r="E37" s="33">
        <v>1.6500000000000001E-2</v>
      </c>
      <c r="F37" s="33">
        <v>1.9199999999999998E-2</v>
      </c>
      <c r="G37" s="33">
        <v>0.02</v>
      </c>
      <c r="H37" s="31"/>
      <c r="I37" s="31"/>
      <c r="J37" s="24"/>
      <c r="K37" s="24"/>
      <c r="L37" s="24"/>
      <c r="M37" s="24"/>
      <c r="N37" s="24"/>
      <c r="O37" s="24"/>
      <c r="P37" s="24"/>
      <c r="Q37" s="24"/>
      <c r="R37" s="7"/>
      <c r="S37" s="7"/>
      <c r="T37" s="7"/>
    </row>
    <row r="38" spans="1:20" ht="15.75" customHeight="1" x14ac:dyDescent="0.3">
      <c r="A38" s="30" t="s">
        <v>94</v>
      </c>
      <c r="B38" s="33">
        <v>3.8100000000000002E-2</v>
      </c>
      <c r="C38" s="33">
        <v>3.39E-2</v>
      </c>
      <c r="D38" s="33">
        <v>3.0499999999999999E-2</v>
      </c>
      <c r="E38" s="33">
        <v>2.6800000000000001E-2</v>
      </c>
      <c r="F38" s="33">
        <v>2.1100000000000001E-2</v>
      </c>
      <c r="G38" s="33">
        <v>0.02</v>
      </c>
      <c r="H38" s="31"/>
      <c r="I38" s="31"/>
      <c r="J38" s="24"/>
      <c r="K38" s="24"/>
      <c r="L38" s="24"/>
      <c r="M38" s="24"/>
      <c r="N38" s="24"/>
      <c r="O38" s="24"/>
      <c r="P38" s="24"/>
      <c r="Q38" s="24"/>
      <c r="R38" s="7"/>
      <c r="S38" s="7"/>
      <c r="T38" s="7"/>
    </row>
    <row r="39" spans="1:20" ht="15.75" customHeight="1" x14ac:dyDescent="0.3">
      <c r="A39" s="30" t="s">
        <v>95</v>
      </c>
      <c r="B39" s="33">
        <v>3.7999999999999999E-2</v>
      </c>
      <c r="C39" s="33">
        <v>0.06</v>
      </c>
      <c r="D39" s="33">
        <v>6.7799999999999999E-2</v>
      </c>
      <c r="E39" s="33">
        <v>8.1900000000000001E-2</v>
      </c>
      <c r="F39" s="33">
        <v>8.1699999999999995E-2</v>
      </c>
      <c r="G39" s="33">
        <v>0.1</v>
      </c>
      <c r="H39" s="31"/>
      <c r="I39" s="31"/>
      <c r="J39" s="24"/>
      <c r="K39" s="24"/>
      <c r="L39" s="24"/>
      <c r="M39" s="24"/>
      <c r="N39" s="24"/>
      <c r="O39" s="24"/>
      <c r="P39" s="24"/>
      <c r="Q39" s="24"/>
      <c r="R39" s="7"/>
      <c r="S39" s="7"/>
      <c r="T39" s="7"/>
    </row>
    <row r="40" spans="1:20" ht="15.75" customHeight="1" x14ac:dyDescent="0.3">
      <c r="A40" s="30" t="s">
        <v>96</v>
      </c>
      <c r="B40" s="33">
        <v>8.8000000000000005E-3</v>
      </c>
      <c r="C40" s="33">
        <v>6.4000000000000003E-3</v>
      </c>
      <c r="D40" s="33">
        <v>1.01E-2</v>
      </c>
      <c r="E40" s="33">
        <v>1.2999999999999999E-2</v>
      </c>
      <c r="F40" s="33">
        <v>9.7999999999999997E-3</v>
      </c>
      <c r="G40" s="33">
        <v>0.02</v>
      </c>
      <c r="H40" s="31"/>
      <c r="I40" s="31"/>
      <c r="J40" s="24"/>
      <c r="K40" s="24"/>
      <c r="L40" s="24"/>
      <c r="M40" s="24"/>
      <c r="N40" s="24"/>
      <c r="O40" s="24"/>
      <c r="P40" s="24"/>
      <c r="Q40" s="24"/>
      <c r="R40" s="7"/>
      <c r="S40" s="7"/>
      <c r="T40" s="7"/>
    </row>
    <row r="41" spans="1:20" ht="15.75" customHeight="1" x14ac:dyDescent="0.3">
      <c r="A41" s="30" t="s">
        <v>97</v>
      </c>
      <c r="B41" s="33">
        <v>4.4900000000000002E-2</v>
      </c>
      <c r="C41" s="33">
        <v>6.6199999999999995E-2</v>
      </c>
      <c r="D41" s="33">
        <v>7.8399999999999997E-2</v>
      </c>
      <c r="E41" s="33">
        <v>0.10249999999999999</v>
      </c>
      <c r="F41" s="33">
        <v>0.1227</v>
      </c>
      <c r="G41" s="35">
        <v>0.13300000000000001</v>
      </c>
      <c r="H41" s="36"/>
      <c r="I41" s="36"/>
      <c r="J41" s="28"/>
      <c r="K41" s="28"/>
      <c r="L41" s="28"/>
      <c r="M41" s="28"/>
      <c r="N41" s="28"/>
      <c r="O41" s="28"/>
      <c r="P41" s="28"/>
      <c r="Q41" s="28"/>
    </row>
    <row r="42" spans="1:20" ht="15.75" customHeight="1" x14ac:dyDescent="0.3">
      <c r="A42" s="30" t="s">
        <v>98</v>
      </c>
      <c r="B42" s="33">
        <v>2.8799999999999999E-2</v>
      </c>
      <c r="C42" s="33">
        <v>3.56E-2</v>
      </c>
      <c r="D42" s="33">
        <v>4.2599999999999999E-2</v>
      </c>
      <c r="E42" s="33">
        <v>4.1200000000000001E-2</v>
      </c>
      <c r="F42" s="33">
        <v>4.1599999999999998E-2</v>
      </c>
      <c r="G42" s="35">
        <v>4.2000000000000003E-2</v>
      </c>
      <c r="H42" s="36"/>
      <c r="I42" s="36"/>
      <c r="J42" s="28"/>
      <c r="K42" s="28"/>
      <c r="L42" s="28"/>
      <c r="M42" s="28"/>
      <c r="N42" s="28"/>
      <c r="O42" s="28"/>
      <c r="P42" s="28"/>
      <c r="Q42" s="28"/>
    </row>
    <row r="43" spans="1:20" ht="15.75" customHeight="1" x14ac:dyDescent="0.3">
      <c r="A43" s="30" t="s">
        <v>99</v>
      </c>
      <c r="B43" s="33">
        <v>5.21E-2</v>
      </c>
      <c r="C43" s="33">
        <v>5.04E-2</v>
      </c>
      <c r="D43" s="33">
        <v>5.7599999999999998E-2</v>
      </c>
      <c r="E43" s="33">
        <v>5.4399999999999997E-2</v>
      </c>
      <c r="F43" s="33">
        <v>6.4299999999999996E-2</v>
      </c>
      <c r="G43" s="35">
        <v>0.04</v>
      </c>
      <c r="H43" s="36"/>
      <c r="I43" s="36"/>
      <c r="J43" s="28"/>
      <c r="K43" s="28"/>
      <c r="L43" s="28"/>
      <c r="M43" s="28"/>
      <c r="N43" s="28"/>
      <c r="O43" s="28"/>
      <c r="P43" s="28"/>
      <c r="Q43" s="28"/>
    </row>
    <row r="44" spans="1:20" ht="15.75" customHeight="1" x14ac:dyDescent="0.25">
      <c r="A44" s="37"/>
      <c r="B44" s="32">
        <v>1.0001</v>
      </c>
      <c r="C44" s="32">
        <v>1</v>
      </c>
      <c r="D44" s="32">
        <v>1.0001</v>
      </c>
      <c r="E44" s="32">
        <v>1.0001</v>
      </c>
      <c r="F44" s="32">
        <v>1.0001</v>
      </c>
      <c r="G44" s="32">
        <v>1</v>
      </c>
      <c r="H44" s="37"/>
      <c r="I44" s="37"/>
    </row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M3:BB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1000"/>
  <sheetViews>
    <sheetView workbookViewId="0"/>
  </sheetViews>
  <sheetFormatPr defaultColWidth="12.59765625" defaultRowHeight="15" customHeight="1" x14ac:dyDescent="0.25"/>
  <cols>
    <col min="1" max="1" width="3.09765625" customWidth="1"/>
    <col min="2" max="2" width="17" customWidth="1"/>
    <col min="3" max="3" width="8" customWidth="1"/>
    <col min="4" max="10" width="7.69921875" customWidth="1"/>
    <col min="11" max="11" width="7" customWidth="1"/>
    <col min="12" max="13" width="7.69921875" customWidth="1"/>
    <col min="14" max="14" width="7" customWidth="1"/>
    <col min="15" max="19" width="7.69921875" customWidth="1"/>
    <col min="20" max="26" width="5.69921875" customWidth="1"/>
  </cols>
  <sheetData>
    <row r="2" spans="1:21" ht="14.4" x14ac:dyDescent="0.3">
      <c r="B2" s="14" t="s">
        <v>40</v>
      </c>
      <c r="C2" s="1" t="s">
        <v>41</v>
      </c>
      <c r="D2" s="1" t="s">
        <v>42</v>
      </c>
      <c r="E2" s="1" t="s">
        <v>43</v>
      </c>
      <c r="F2" s="1">
        <v>19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</row>
    <row r="3" spans="1:21" ht="14.4" x14ac:dyDescent="0.3">
      <c r="B3" s="7" t="s">
        <v>128</v>
      </c>
      <c r="C3" s="7">
        <v>208070500000</v>
      </c>
      <c r="D3" s="7">
        <v>24588500000</v>
      </c>
      <c r="E3" s="7">
        <v>424227600000.00006</v>
      </c>
      <c r="F3" s="7">
        <v>29643300000</v>
      </c>
      <c r="G3" s="7">
        <v>183491609698.10425</v>
      </c>
      <c r="H3" s="7">
        <v>91173590301.895782</v>
      </c>
      <c r="I3" s="7">
        <v>75573200000</v>
      </c>
      <c r="J3" s="7">
        <v>172516700000</v>
      </c>
      <c r="K3" s="7">
        <v>356701000000</v>
      </c>
      <c r="L3" s="7">
        <v>103689000000</v>
      </c>
      <c r="M3" s="7">
        <v>81046100000</v>
      </c>
      <c r="N3" s="7">
        <v>85265000000</v>
      </c>
      <c r="O3" s="7">
        <v>2750392300000</v>
      </c>
      <c r="P3" s="7">
        <v>116785900000</v>
      </c>
      <c r="Q3" s="7">
        <v>582673600000</v>
      </c>
      <c r="R3" s="7">
        <v>35430900000</v>
      </c>
      <c r="S3" s="7">
        <v>87985500000</v>
      </c>
      <c r="T3" s="7">
        <v>37623100000</v>
      </c>
      <c r="U3" s="7">
        <v>22505500000</v>
      </c>
    </row>
    <row r="4" spans="1:21" ht="14.4" x14ac:dyDescent="0.3">
      <c r="B4" s="7" t="s">
        <v>129</v>
      </c>
      <c r="C4" s="38">
        <v>4.932142055426364E-2</v>
      </c>
      <c r="D4" s="38">
        <v>5.8811342958449676E-2</v>
      </c>
      <c r="E4" s="38">
        <v>9.8839291610082508E-2</v>
      </c>
      <c r="F4" s="38">
        <v>5.6907601368287139E-2</v>
      </c>
      <c r="G4" s="38">
        <v>4.2295791689335241E-2</v>
      </c>
      <c r="H4" s="38">
        <v>4.2295791689335241E-2</v>
      </c>
      <c r="I4" s="38">
        <v>8.6772468312098144E-2</v>
      </c>
      <c r="J4" s="38">
        <v>8.4163399794316071E-2</v>
      </c>
      <c r="K4" s="38">
        <v>4.7370605126408803E-2</v>
      </c>
      <c r="L4" s="38">
        <v>4.9420865408191829E-2</v>
      </c>
      <c r="M4" s="38">
        <v>0.13168628197403071</v>
      </c>
      <c r="N4" s="38">
        <v>6.8722169950837131E-2</v>
      </c>
      <c r="O4" s="38">
        <v>1.2879468807567535E-2</v>
      </c>
      <c r="P4" s="38">
        <v>0.10901151498739582</v>
      </c>
      <c r="Q4" s="38">
        <v>4.951851862662799E-2</v>
      </c>
      <c r="R4" s="38">
        <v>5.4450402372820686E-2</v>
      </c>
      <c r="S4" s="38">
        <v>6.5501092512702391E-2</v>
      </c>
      <c r="T4" s="7">
        <v>9.3008387067118822E-2</v>
      </c>
      <c r="U4" s="7">
        <v>8.5973642060168262E-2</v>
      </c>
    </row>
    <row r="5" spans="1:21" ht="14.4" x14ac:dyDescent="0.3">
      <c r="B5" s="7" t="s">
        <v>130</v>
      </c>
      <c r="C5" s="38">
        <v>20.275166221130952</v>
      </c>
      <c r="D5" s="38">
        <v>17.003522614787116</v>
      </c>
      <c r="E5" s="38">
        <v>10.117433904170058</v>
      </c>
      <c r="F5" s="38">
        <v>17.572344923278902</v>
      </c>
      <c r="G5" s="38">
        <v>23.643014116984766</v>
      </c>
      <c r="H5" s="38">
        <v>23.643014116984766</v>
      </c>
      <c r="I5" s="38">
        <v>11.524392695656166</v>
      </c>
      <c r="J5" s="38">
        <v>11.881649297008726</v>
      </c>
      <c r="K5" s="38">
        <v>21.110137760146671</v>
      </c>
      <c r="L5" s="38">
        <v>20.23436845430561</v>
      </c>
      <c r="M5" s="38">
        <v>7.5938054063763891</v>
      </c>
      <c r="N5" s="38">
        <v>14.551344940291989</v>
      </c>
      <c r="O5" s="38">
        <v>77.642953676197749</v>
      </c>
      <c r="P5" s="38">
        <v>9.1733428355309297</v>
      </c>
      <c r="Q5" s="38">
        <v>20.194465176554413</v>
      </c>
      <c r="R5" s="38">
        <v>18.365337195362166</v>
      </c>
      <c r="S5" s="38">
        <v>15.26692092664063</v>
      </c>
      <c r="T5" s="7">
        <v>10.751718544246524</v>
      </c>
      <c r="U5" s="7">
        <v>11.631471879487838</v>
      </c>
    </row>
    <row r="6" spans="1:21" ht="14.4" x14ac:dyDescent="0.3">
      <c r="B6" s="7" t="s">
        <v>131</v>
      </c>
      <c r="C6" s="39">
        <v>0.329926635443275</v>
      </c>
      <c r="D6" s="39">
        <v>0.4602964800618175</v>
      </c>
      <c r="E6" s="39">
        <v>2.6430076685251027</v>
      </c>
      <c r="F6" s="39">
        <v>2.4752439843067409</v>
      </c>
      <c r="G6" s="39">
        <v>0.59530123704544047</v>
      </c>
      <c r="H6" s="39">
        <v>0.59530123704544036</v>
      </c>
      <c r="I6" s="39">
        <v>4.4775784713805074</v>
      </c>
      <c r="J6" s="39">
        <v>2.4822416225984689</v>
      </c>
      <c r="K6" s="39">
        <v>0.65874182204890552</v>
      </c>
      <c r="L6" s="39">
        <v>1.2665104302288575</v>
      </c>
      <c r="M6" s="39">
        <v>2.1241293535407624</v>
      </c>
      <c r="N6" s="39">
        <v>2.0743970757833421</v>
      </c>
      <c r="O6" s="39">
        <v>0.10588942772515277</v>
      </c>
      <c r="P6" s="39">
        <v>2.9446602714882539</v>
      </c>
      <c r="Q6" s="39">
        <v>0.31245211727457711</v>
      </c>
      <c r="R6" s="39">
        <v>2.8037861490017657</v>
      </c>
      <c r="S6" s="39">
        <v>2.1661220693561249</v>
      </c>
      <c r="T6" s="7">
        <v>1.463909140926718</v>
      </c>
      <c r="U6" s="7">
        <v>3.3367013989173016</v>
      </c>
    </row>
    <row r="7" spans="1:21" ht="15" customHeight="1" x14ac:dyDescent="0.3">
      <c r="B7" s="7" t="s">
        <v>132</v>
      </c>
      <c r="C7" s="40">
        <v>8091903383.619874</v>
      </c>
      <c r="D7" s="40">
        <v>2497292278.7963877</v>
      </c>
      <c r="E7" s="40">
        <v>52443323678.987755</v>
      </c>
      <c r="F7" s="40">
        <v>2639819488.9933386</v>
      </c>
      <c r="G7" s="40">
        <v>10665383610.500681</v>
      </c>
      <c r="H7" s="40">
        <v>3608985935.9062462</v>
      </c>
      <c r="I7" s="40">
        <v>7784735875.8551273</v>
      </c>
      <c r="J7" s="40">
        <v>16930634482.730682</v>
      </c>
      <c r="K7" s="40">
        <v>22217241870.603127</v>
      </c>
      <c r="L7" s="40">
        <v>6390403513.7784328</v>
      </c>
      <c r="M7" s="40">
        <v>14312370608.317327</v>
      </c>
      <c r="N7" s="40">
        <v>5373015670.4559965</v>
      </c>
      <c r="O7" s="40">
        <v>96761481431.167557</v>
      </c>
      <c r="P7" s="40">
        <v>20556065865.967346</v>
      </c>
      <c r="Q7" s="40">
        <v>27439925711.790115</v>
      </c>
      <c r="R7" s="40">
        <v>2025763209.8592768</v>
      </c>
      <c r="S7" s="40">
        <v>9376971078.6876907</v>
      </c>
      <c r="T7" s="40">
        <v>3265118136.0764432</v>
      </c>
      <c r="U7" s="40">
        <v>1843934167.9065816</v>
      </c>
    </row>
    <row r="8" spans="1:21" ht="14.4" x14ac:dyDescent="0.3">
      <c r="B8" s="7" t="s">
        <v>133</v>
      </c>
      <c r="C8" s="7">
        <v>0.8</v>
      </c>
    </row>
    <row r="10" spans="1:21" ht="15" customHeight="1" x14ac:dyDescent="0.3">
      <c r="B10" s="7" t="s">
        <v>134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" customHeight="1" x14ac:dyDescent="0.25">
      <c r="A11" s="41"/>
      <c r="B11" s="42"/>
      <c r="C11" s="75" t="s">
        <v>135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7"/>
    </row>
    <row r="12" spans="1:21" ht="15" customHeight="1" x14ac:dyDescent="0.25">
      <c r="A12" s="43"/>
      <c r="B12" s="44" t="s">
        <v>136</v>
      </c>
      <c r="C12" s="45" t="s">
        <v>41</v>
      </c>
      <c r="D12" s="45" t="s">
        <v>42</v>
      </c>
      <c r="E12" s="45" t="s">
        <v>43</v>
      </c>
      <c r="F12" s="45" t="s">
        <v>66</v>
      </c>
      <c r="G12" s="45" t="s">
        <v>44</v>
      </c>
      <c r="H12" s="45" t="s">
        <v>45</v>
      </c>
      <c r="I12" s="45" t="s">
        <v>46</v>
      </c>
      <c r="J12" s="45" t="s">
        <v>47</v>
      </c>
      <c r="K12" s="45" t="s">
        <v>48</v>
      </c>
      <c r="L12" s="45" t="s">
        <v>49</v>
      </c>
      <c r="M12" s="45" t="s">
        <v>50</v>
      </c>
      <c r="N12" s="45" t="s">
        <v>51</v>
      </c>
      <c r="O12" s="45" t="s">
        <v>52</v>
      </c>
      <c r="P12" s="45" t="s">
        <v>67</v>
      </c>
      <c r="Q12" s="45" t="s">
        <v>54</v>
      </c>
      <c r="R12" s="45" t="s">
        <v>55</v>
      </c>
      <c r="S12" s="45" t="s">
        <v>56</v>
      </c>
      <c r="T12" s="45" t="s">
        <v>57</v>
      </c>
      <c r="U12" s="46" t="s">
        <v>68</v>
      </c>
    </row>
    <row r="13" spans="1:21" ht="15" customHeight="1" x14ac:dyDescent="0.25">
      <c r="A13" s="78" t="s">
        <v>137</v>
      </c>
      <c r="B13" s="44" t="s">
        <v>41</v>
      </c>
      <c r="C13" s="47">
        <v>7.0251448009561471E-2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2.4054497145118401E-2</v>
      </c>
      <c r="U13" s="49">
        <v>0</v>
      </c>
    </row>
    <row r="14" spans="1:21" ht="15" customHeight="1" x14ac:dyDescent="0.25">
      <c r="A14" s="79"/>
      <c r="B14" s="44" t="s">
        <v>42</v>
      </c>
      <c r="C14" s="50">
        <v>5.5625620666789267E-6</v>
      </c>
      <c r="D14" s="51">
        <v>7.7308394272297394E-4</v>
      </c>
      <c r="E14" s="51">
        <v>1.0738315672387576E-3</v>
      </c>
      <c r="F14" s="51">
        <v>1.1093298594822277E-5</v>
      </c>
      <c r="G14" s="51">
        <v>1.1282148912150834E-5</v>
      </c>
      <c r="H14" s="51">
        <v>1.638448998079852E-5</v>
      </c>
      <c r="I14" s="51">
        <v>5.2692151029073867E-5</v>
      </c>
      <c r="J14" s="51">
        <v>9.0763224107771333E-5</v>
      </c>
      <c r="K14" s="51">
        <v>1.4997009207080408E-5</v>
      </c>
      <c r="L14" s="51">
        <v>4.5656202476264429E-6</v>
      </c>
      <c r="M14" s="51">
        <v>1.1941973871245025E-3</v>
      </c>
      <c r="N14" s="51">
        <v>6.2854767867070776E-4</v>
      </c>
      <c r="O14" s="51">
        <v>5.553757053742006E-7</v>
      </c>
      <c r="P14" s="51">
        <v>2.4025374755445375E-3</v>
      </c>
      <c r="Q14" s="51">
        <v>1.064475138483545E-5</v>
      </c>
      <c r="R14" s="51">
        <v>8.211156768112406E-5</v>
      </c>
      <c r="S14" s="51">
        <v>6.7331968621224601E-4</v>
      </c>
      <c r="T14" s="51">
        <v>1.3759901559446547E-3</v>
      </c>
      <c r="U14" s="52">
        <v>4.6378026829770605E-5</v>
      </c>
    </row>
    <row r="15" spans="1:21" ht="15" customHeight="1" x14ac:dyDescent="0.25">
      <c r="A15" s="79"/>
      <c r="B15" s="44" t="s">
        <v>43</v>
      </c>
      <c r="C15" s="50">
        <v>0.58906044152526593</v>
      </c>
      <c r="D15" s="51">
        <v>0.24316447888429857</v>
      </c>
      <c r="E15" s="51">
        <v>0.64874914233935654</v>
      </c>
      <c r="F15" s="51">
        <v>0.45772092804301384</v>
      </c>
      <c r="G15" s="51">
        <v>0.38929120292957392</v>
      </c>
      <c r="H15" s="51">
        <v>0.63416744426004545</v>
      </c>
      <c r="I15" s="51">
        <v>0.69987002498709139</v>
      </c>
      <c r="J15" s="51">
        <v>0.64568993692732768</v>
      </c>
      <c r="K15" s="51">
        <v>0.52818254135849507</v>
      </c>
      <c r="L15" s="51">
        <v>0.56774146033439254</v>
      </c>
      <c r="M15" s="51">
        <v>0.31369175050857923</v>
      </c>
      <c r="N15" s="51">
        <v>0.19765877406657872</v>
      </c>
      <c r="O15" s="51">
        <v>8.9540432283627021E-3</v>
      </c>
      <c r="P15" s="51">
        <v>0.36930010397150631</v>
      </c>
      <c r="Q15" s="51">
        <v>0.2745803368277358</v>
      </c>
      <c r="R15" s="51">
        <v>0.45607114576013019</v>
      </c>
      <c r="S15" s="51">
        <v>0.33261335744682341</v>
      </c>
      <c r="T15" s="51">
        <v>0.39060649656952612</v>
      </c>
      <c r="U15" s="52">
        <v>0.53315115397592328</v>
      </c>
    </row>
    <row r="16" spans="1:21" ht="15" customHeight="1" x14ac:dyDescent="0.25">
      <c r="A16" s="79"/>
      <c r="B16" s="44" t="s">
        <v>66</v>
      </c>
      <c r="C16" s="50">
        <v>1.1988211390717865E-3</v>
      </c>
      <c r="D16" s="51">
        <v>4.9487403500234658E-4</v>
      </c>
      <c r="E16" s="51">
        <v>1.320296069750176E-3</v>
      </c>
      <c r="F16" s="51">
        <v>9.3152669174778591E-4</v>
      </c>
      <c r="G16" s="51">
        <v>7.9226254290348666E-4</v>
      </c>
      <c r="H16" s="51">
        <v>1.2906202560836243E-3</v>
      </c>
      <c r="I16" s="51">
        <v>1.4243342811897809E-3</v>
      </c>
      <c r="J16" s="51">
        <v>1.3140701549574482E-3</v>
      </c>
      <c r="K16" s="51">
        <v>1.0749260198659311E-3</v>
      </c>
      <c r="L16" s="51">
        <v>1.1554340033664658E-3</v>
      </c>
      <c r="M16" s="51">
        <v>6.3840698704597642E-4</v>
      </c>
      <c r="N16" s="51">
        <v>4.0226350297852285E-4</v>
      </c>
      <c r="O16" s="51">
        <v>1.8222741752152399E-5</v>
      </c>
      <c r="P16" s="51">
        <v>7.5157783496052511E-4</v>
      </c>
      <c r="Q16" s="51">
        <v>5.5880973998221229E-4</v>
      </c>
      <c r="R16" s="51">
        <v>9.2816915195022992E-4</v>
      </c>
      <c r="S16" s="51">
        <v>6.7691512777944571E-4</v>
      </c>
      <c r="T16" s="51">
        <v>7.9493935110262249E-4</v>
      </c>
      <c r="U16" s="52">
        <v>1.0850378478172503E-3</v>
      </c>
    </row>
    <row r="17" spans="1:21" ht="15" customHeight="1" x14ac:dyDescent="0.25">
      <c r="A17" s="79"/>
      <c r="B17" s="44" t="s">
        <v>44</v>
      </c>
      <c r="C17" s="50">
        <v>2.8131549459722908E-5</v>
      </c>
      <c r="D17" s="51">
        <v>3.9097180239129259E-3</v>
      </c>
      <c r="E17" s="51">
        <v>5.4306892189383855E-3</v>
      </c>
      <c r="F17" s="51">
        <v>5.6102147598694015E-5</v>
      </c>
      <c r="G17" s="51">
        <v>5.7057220455181616E-5</v>
      </c>
      <c r="H17" s="51">
        <v>8.2861293904151699E-5</v>
      </c>
      <c r="I17" s="51">
        <v>2.6648005632026696E-4</v>
      </c>
      <c r="J17" s="51">
        <v>4.5901692376730871E-4</v>
      </c>
      <c r="K17" s="51">
        <v>7.5844386309704062E-5</v>
      </c>
      <c r="L17" s="51">
        <v>2.3089714823999846E-5</v>
      </c>
      <c r="M17" s="51">
        <v>6.0394153733231331E-3</v>
      </c>
      <c r="N17" s="51">
        <v>3.1787546634739691E-3</v>
      </c>
      <c r="O17" s="51">
        <v>2.8087019860959012E-6</v>
      </c>
      <c r="P17" s="51">
        <v>1.2150354640891441E-2</v>
      </c>
      <c r="Q17" s="51">
        <v>5.3833709445284093E-5</v>
      </c>
      <c r="R17" s="51">
        <v>4.1526289500191504E-4</v>
      </c>
      <c r="S17" s="51">
        <v>3.4051801719839074E-3</v>
      </c>
      <c r="T17" s="51">
        <v>6.9587960842582676E-3</v>
      </c>
      <c r="U17" s="52">
        <v>2.3454763110355688E-4</v>
      </c>
    </row>
    <row r="18" spans="1:21" ht="15" customHeight="1" x14ac:dyDescent="0.25">
      <c r="A18" s="79"/>
      <c r="B18" s="44" t="s">
        <v>45</v>
      </c>
      <c r="C18" s="50">
        <v>5.5028228042962771E-6</v>
      </c>
      <c r="D18" s="51">
        <v>7.6478139006027354E-4</v>
      </c>
      <c r="E18" s="51">
        <v>1.0622991285924868E-3</v>
      </c>
      <c r="F18" s="51">
        <v>1.0974161861155083E-5</v>
      </c>
      <c r="G18" s="51">
        <v>1.1160984016186715E-5</v>
      </c>
      <c r="H18" s="51">
        <v>1.6208528376373099E-5</v>
      </c>
      <c r="I18" s="51">
        <v>5.2126262469431885E-5</v>
      </c>
      <c r="J18" s="51">
        <v>8.9788470389129844E-5</v>
      </c>
      <c r="K18" s="51">
        <v>1.4835948484119039E-5</v>
      </c>
      <c r="L18" s="51">
        <v>4.5165876646829976E-6</v>
      </c>
      <c r="M18" s="51">
        <v>1.1813722770060101E-3</v>
      </c>
      <c r="N18" s="51">
        <v>6.2179737651748917E-4</v>
      </c>
      <c r="O18" s="51">
        <v>5.4941123529969272E-7</v>
      </c>
      <c r="P18" s="51">
        <v>2.376735369443923E-3</v>
      </c>
      <c r="Q18" s="51">
        <v>1.0530431834176229E-5</v>
      </c>
      <c r="R18" s="51">
        <v>8.1229728624309356E-5</v>
      </c>
      <c r="S18" s="51">
        <v>6.6608855406129241E-4</v>
      </c>
      <c r="T18" s="51">
        <v>1.3612126782326624E-3</v>
      </c>
      <c r="U18" s="52">
        <v>4.5879948951202786E-5</v>
      </c>
    </row>
    <row r="19" spans="1:21" ht="15" customHeight="1" x14ac:dyDescent="0.25">
      <c r="A19" s="79"/>
      <c r="B19" s="44" t="s">
        <v>46</v>
      </c>
      <c r="C19" s="50">
        <v>0.31327952360990635</v>
      </c>
      <c r="D19" s="51">
        <v>0.5781051531334096</v>
      </c>
      <c r="E19" s="51">
        <v>0.10769725555969596</v>
      </c>
      <c r="F19" s="51">
        <v>0.49169426266813676</v>
      </c>
      <c r="G19" s="51">
        <v>0.5263072275871481</v>
      </c>
      <c r="H19" s="51">
        <v>0.3054992523511928</v>
      </c>
      <c r="I19" s="51">
        <v>0.24432849394831299</v>
      </c>
      <c r="J19" s="51">
        <v>0.23516603223134447</v>
      </c>
      <c r="K19" s="51">
        <v>0.40526426142761429</v>
      </c>
      <c r="L19" s="51">
        <v>0.38887708792538273</v>
      </c>
      <c r="M19" s="51">
        <v>0.10910073172824887</v>
      </c>
      <c r="N19" s="51">
        <v>0.45524709211699527</v>
      </c>
      <c r="O19" s="51">
        <v>0.92155095956796806</v>
      </c>
      <c r="P19" s="51">
        <v>0.11286905268557525</v>
      </c>
      <c r="Q19" s="51">
        <v>0.62508142960551649</v>
      </c>
      <c r="R19" s="51">
        <v>0.38872642887152181</v>
      </c>
      <c r="S19" s="51">
        <v>0.46798012680006501</v>
      </c>
      <c r="T19" s="51">
        <v>0.24537207870696984</v>
      </c>
      <c r="U19" s="52">
        <v>0.37226618295326142</v>
      </c>
    </row>
    <row r="20" spans="1:21" ht="15" customHeight="1" x14ac:dyDescent="0.25">
      <c r="A20" s="79"/>
      <c r="B20" s="44" t="s">
        <v>47</v>
      </c>
      <c r="C20" s="50">
        <v>4.5561442482495529E-4</v>
      </c>
      <c r="D20" s="51">
        <v>6.332121631775893E-2</v>
      </c>
      <c r="E20" s="51">
        <v>8.7954641404742226E-2</v>
      </c>
      <c r="F20" s="51">
        <v>9.0862210580403241E-4</v>
      </c>
      <c r="G20" s="51">
        <v>9.2409032488658034E-4</v>
      </c>
      <c r="H20" s="51">
        <v>1.3420092916120346E-3</v>
      </c>
      <c r="I20" s="51">
        <v>4.3158716785760727E-3</v>
      </c>
      <c r="J20" s="51">
        <v>7.4341703789401817E-3</v>
      </c>
      <c r="K20" s="51">
        <v>1.2283644914110573E-3</v>
      </c>
      <c r="L20" s="51">
        <v>3.7395761488256659E-4</v>
      </c>
      <c r="M20" s="51">
        <v>9.781348039628085E-2</v>
      </c>
      <c r="N20" s="51">
        <v>5.1482641570522368E-2</v>
      </c>
      <c r="O20" s="51">
        <v>4.5489323001279089E-5</v>
      </c>
      <c r="P20" s="51">
        <v>0.19678535123189433</v>
      </c>
      <c r="Q20" s="51">
        <v>8.7188281613224971E-4</v>
      </c>
      <c r="R20" s="51">
        <v>6.7255365840523064E-3</v>
      </c>
      <c r="S20" s="51">
        <v>5.5149795701977374E-2</v>
      </c>
      <c r="T20" s="51">
        <v>0.11270363475509433</v>
      </c>
      <c r="U20" s="52">
        <v>3.7986988307310765E-3</v>
      </c>
    </row>
    <row r="21" spans="1:21" ht="15.75" customHeight="1" x14ac:dyDescent="0.25">
      <c r="A21" s="79"/>
      <c r="B21" s="44" t="s">
        <v>48</v>
      </c>
      <c r="C21" s="50">
        <v>4.4530658050269551E-5</v>
      </c>
      <c r="D21" s="51">
        <v>6.1888633843333622E-3</v>
      </c>
      <c r="E21" s="51">
        <v>8.5964751046532905E-3</v>
      </c>
      <c r="F21" s="51">
        <v>8.8806539226716369E-5</v>
      </c>
      <c r="G21" s="51">
        <v>9.0318365756081046E-5</v>
      </c>
      <c r="H21" s="51">
        <v>1.3116476039585375E-4</v>
      </c>
      <c r="I21" s="51">
        <v>4.2182291744022771E-4</v>
      </c>
      <c r="J21" s="51">
        <v>7.2659793236181042E-4</v>
      </c>
      <c r="K21" s="51">
        <v>1.2005739095976706E-4</v>
      </c>
      <c r="L21" s="51">
        <v>3.6549717845364089E-5</v>
      </c>
      <c r="M21" s="51">
        <v>9.5600543154597522E-3</v>
      </c>
      <c r="N21" s="51">
        <v>5.0317895623746157E-3</v>
      </c>
      <c r="O21" s="51">
        <v>4.446017020392785E-6</v>
      </c>
      <c r="P21" s="51">
        <v>1.9233326926328922E-2</v>
      </c>
      <c r="Q21" s="51">
        <v>8.5215729418592953E-5</v>
      </c>
      <c r="R21" s="51">
        <v>6.5733776963728644E-4</v>
      </c>
      <c r="S21" s="51">
        <v>5.3902083870380245E-3</v>
      </c>
      <c r="T21" s="51">
        <v>1.1015382189073063E-2</v>
      </c>
      <c r="U21" s="52">
        <v>3.7127568718271856E-4</v>
      </c>
    </row>
    <row r="22" spans="1:21" ht="15.75" customHeight="1" x14ac:dyDescent="0.25">
      <c r="A22" s="79"/>
      <c r="B22" s="44" t="s">
        <v>49</v>
      </c>
      <c r="C22" s="50">
        <v>1.9768441907014346E-6</v>
      </c>
      <c r="D22" s="51">
        <v>2.7474147394258348E-4</v>
      </c>
      <c r="E22" s="51">
        <v>3.8162229383539273E-4</v>
      </c>
      <c r="F22" s="51">
        <v>3.9423781020359448E-6</v>
      </c>
      <c r="G22" s="51">
        <v>4.0094924368061395E-6</v>
      </c>
      <c r="H22" s="51">
        <v>5.822781561426298E-6</v>
      </c>
      <c r="I22" s="51">
        <v>1.8725934454081064E-5</v>
      </c>
      <c r="J22" s="51">
        <v>3.225577533445914E-5</v>
      </c>
      <c r="K22" s="51">
        <v>5.3296934350636621E-6</v>
      </c>
      <c r="L22" s="51">
        <v>1.6225472642425323E-6</v>
      </c>
      <c r="M22" s="51">
        <v>4.2439835079401876E-4</v>
      </c>
      <c r="N22" s="51">
        <v>2.2337563379331559E-4</v>
      </c>
      <c r="O22" s="51">
        <v>1.973715032147381E-7</v>
      </c>
      <c r="P22" s="51">
        <v>8.5382278787017965E-4</v>
      </c>
      <c r="Q22" s="51">
        <v>3.782971710576622E-6</v>
      </c>
      <c r="R22" s="51">
        <v>2.9181117192770561E-5</v>
      </c>
      <c r="S22" s="51">
        <v>2.3928687792031784E-4</v>
      </c>
      <c r="T22" s="51">
        <v>4.8900454747924664E-4</v>
      </c>
      <c r="U22" s="52">
        <v>1.6481997291108918E-5</v>
      </c>
    </row>
    <row r="23" spans="1:21" ht="15.75" customHeight="1" x14ac:dyDescent="0.25">
      <c r="A23" s="79"/>
      <c r="B23" s="44" t="s">
        <v>50</v>
      </c>
      <c r="C23" s="50">
        <v>2.4363335478532686E-3</v>
      </c>
      <c r="D23" s="51">
        <v>1.3015991074748977E-2</v>
      </c>
      <c r="E23" s="51">
        <v>6.3539248220585348E-2</v>
      </c>
      <c r="F23" s="51">
        <v>1.196484664525465E-2</v>
      </c>
      <c r="G23" s="51">
        <v>4.3361968321455335E-2</v>
      </c>
      <c r="H23" s="51">
        <v>3.4116129032258059E-2</v>
      </c>
      <c r="I23" s="51">
        <v>2.8143955676553471E-2</v>
      </c>
      <c r="J23" s="51">
        <v>8.6209826396311959E-2</v>
      </c>
      <c r="K23" s="51">
        <v>3.3483499737694544E-2</v>
      </c>
      <c r="L23" s="51">
        <v>1.3087940501438073E-2</v>
      </c>
      <c r="M23" s="51">
        <v>0.37862466783330095</v>
      </c>
      <c r="N23" s="51">
        <v>0.21344139909445958</v>
      </c>
      <c r="O23" s="51">
        <v>2.0589252103099909E-3</v>
      </c>
      <c r="P23" s="51">
        <v>0.12663625141864976</v>
      </c>
      <c r="Q23" s="51">
        <v>5.2416933715635015E-2</v>
      </c>
      <c r="R23" s="51">
        <v>0.11281114409682576</v>
      </c>
      <c r="S23" s="51">
        <v>5.7426490316297839E-2</v>
      </c>
      <c r="T23" s="51">
        <v>0.10235174402170842</v>
      </c>
      <c r="U23" s="52">
        <v>5.8921623123957746E-2</v>
      </c>
    </row>
    <row r="24" spans="1:21" ht="15.75" customHeight="1" x14ac:dyDescent="0.25">
      <c r="A24" s="79"/>
      <c r="B24" s="44" t="s">
        <v>51</v>
      </c>
      <c r="C24" s="50">
        <v>1.933178097937048E-5</v>
      </c>
      <c r="D24" s="51">
        <v>2.6867276769662269E-3</v>
      </c>
      <c r="E24" s="51">
        <v>3.7319271978906317E-3</v>
      </c>
      <c r="F24" s="51">
        <v>3.8552957468733434E-5</v>
      </c>
      <c r="G24" s="51">
        <v>3.9209276073131481E-5</v>
      </c>
      <c r="H24" s="51">
        <v>5.6941633723935134E-5</v>
      </c>
      <c r="I24" s="51">
        <v>1.8312301252831358E-4</v>
      </c>
      <c r="J24" s="51">
        <v>3.1543284342722486E-4</v>
      </c>
      <c r="K24" s="51">
        <v>5.2119669652508575E-5</v>
      </c>
      <c r="L24" s="51">
        <v>1.5867071612701902E-5</v>
      </c>
      <c r="M24" s="51">
        <v>4.1502390548265175E-3</v>
      </c>
      <c r="N24" s="51">
        <v>2.1844153671454602E-3</v>
      </c>
      <c r="O24" s="51">
        <v>1.9301180587037476E-6</v>
      </c>
      <c r="P24" s="51">
        <v>8.3496287709174978E-3</v>
      </c>
      <c r="Q24" s="51">
        <v>3.6994104494433023E-5</v>
      </c>
      <c r="R24" s="51">
        <v>2.8536541673717731E-4</v>
      </c>
      <c r="S24" s="51">
        <v>2.3400132073896937E-3</v>
      </c>
      <c r="T24" s="51">
        <v>4.7820302956859181E-3</v>
      </c>
      <c r="U24" s="52">
        <v>1.611792994273557E-4</v>
      </c>
    </row>
    <row r="25" spans="1:21" ht="15.75" customHeight="1" x14ac:dyDescent="0.25">
      <c r="A25" s="79"/>
      <c r="B25" s="44" t="s">
        <v>52</v>
      </c>
      <c r="C25" s="50">
        <v>2.2888537436338046E-2</v>
      </c>
      <c r="D25" s="51">
        <v>4.223698148912651E-2</v>
      </c>
      <c r="E25" s="51">
        <v>7.8684768071162221E-3</v>
      </c>
      <c r="F25" s="51">
        <v>3.5923709308004093E-2</v>
      </c>
      <c r="G25" s="51">
        <v>3.8452569586526285E-2</v>
      </c>
      <c r="H25" s="51">
        <v>2.2320102487516837E-2</v>
      </c>
      <c r="I25" s="51">
        <v>1.7850901380530634E-2</v>
      </c>
      <c r="J25" s="51">
        <v>1.7181482116860578E-2</v>
      </c>
      <c r="K25" s="51">
        <v>2.9609040873179244E-2</v>
      </c>
      <c r="L25" s="51">
        <v>2.8411776430678881E-2</v>
      </c>
      <c r="M25" s="51">
        <v>7.971016278750926E-3</v>
      </c>
      <c r="N25" s="51">
        <v>3.3260840002038321E-2</v>
      </c>
      <c r="O25" s="51">
        <v>6.7329499848925639E-2</v>
      </c>
      <c r="P25" s="51">
        <v>8.2463338427909601E-3</v>
      </c>
      <c r="Q25" s="51">
        <v>4.5669118547629062E-2</v>
      </c>
      <c r="R25" s="51">
        <v>2.8400769118886896E-2</v>
      </c>
      <c r="S25" s="51">
        <v>3.4191129149772508E-2</v>
      </c>
      <c r="T25" s="51">
        <v>1.7927146800407648E-2</v>
      </c>
      <c r="U25" s="52">
        <v>2.7198165927429796E-2</v>
      </c>
    </row>
    <row r="26" spans="1:21" ht="15.75" customHeight="1" x14ac:dyDescent="0.25">
      <c r="A26" s="79"/>
      <c r="B26" s="44" t="s">
        <v>67</v>
      </c>
      <c r="C26" s="50">
        <v>2.7150949899706981E-4</v>
      </c>
      <c r="D26" s="51">
        <v>3.7734344615899737E-2</v>
      </c>
      <c r="E26" s="51">
        <v>5.2413881828792558E-2</v>
      </c>
      <c r="F26" s="51">
        <v>5.4146558862638318E-4</v>
      </c>
      <c r="G26" s="51">
        <v>5.506834012869306E-4</v>
      </c>
      <c r="H26" s="51">
        <v>7.9972944349816061E-4</v>
      </c>
      <c r="I26" s="51">
        <v>2.5719118915869085E-3</v>
      </c>
      <c r="J26" s="51">
        <v>4.4301667486063082E-3</v>
      </c>
      <c r="K26" s="51">
        <v>7.3200629628208198E-4</v>
      </c>
      <c r="L26" s="51">
        <v>2.228486174508485E-4</v>
      </c>
      <c r="M26" s="51">
        <v>5.8288955771663944E-2</v>
      </c>
      <c r="N26" s="51">
        <v>3.0679507623641491E-2</v>
      </c>
      <c r="O26" s="51">
        <v>2.7107972497881903E-5</v>
      </c>
      <c r="P26" s="51">
        <v>0.11726821894074409</v>
      </c>
      <c r="Q26" s="51">
        <v>5.1957193120733566E-4</v>
      </c>
      <c r="R26" s="51">
        <v>4.0078780849049367E-3</v>
      </c>
      <c r="S26" s="51">
        <v>3.2864836109145243E-2</v>
      </c>
      <c r="T26" s="51">
        <v>6.7162288418021021E-2</v>
      </c>
      <c r="U26" s="52">
        <v>2.2637185307923502E-3</v>
      </c>
    </row>
    <row r="27" spans="1:21" ht="15.75" customHeight="1" x14ac:dyDescent="0.25">
      <c r="A27" s="79"/>
      <c r="B27" s="44" t="s">
        <v>54</v>
      </c>
      <c r="C27" s="50">
        <v>3.5864962377023471E-6</v>
      </c>
      <c r="D27" s="51">
        <v>4.984506453623148E-4</v>
      </c>
      <c r="E27" s="51">
        <v>6.9235953319028677E-4</v>
      </c>
      <c r="F27" s="51">
        <v>7.1524727629318334E-6</v>
      </c>
      <c r="G27" s="51">
        <v>7.2742351710575808E-6</v>
      </c>
      <c r="H27" s="51">
        <v>1.0564001078713269E-5</v>
      </c>
      <c r="I27" s="51">
        <v>3.3973589715835038E-5</v>
      </c>
      <c r="J27" s="51">
        <v>5.8520149147496445E-5</v>
      </c>
      <c r="K27" s="51">
        <v>9.6694142830651016E-6</v>
      </c>
      <c r="L27" s="51">
        <v>2.9437118443994599E-6</v>
      </c>
      <c r="M27" s="51">
        <v>7.6996613874245098E-4</v>
      </c>
      <c r="N27" s="51">
        <v>4.0525999669697803E-4</v>
      </c>
      <c r="O27" s="51">
        <v>3.5808191512460262E-7</v>
      </c>
      <c r="P27" s="51">
        <v>1.5490508714671998E-3</v>
      </c>
      <c r="Q27" s="51">
        <v>6.8632691798048745E-6</v>
      </c>
      <c r="R27" s="51">
        <v>5.2941940248051401E-5</v>
      </c>
      <c r="S27" s="51">
        <v>4.3412702499747791E-4</v>
      </c>
      <c r="T27" s="51">
        <v>8.8717814889162274E-4</v>
      </c>
      <c r="U27" s="52">
        <v>2.9902519152714683E-5</v>
      </c>
    </row>
    <row r="28" spans="1:21" ht="15.75" customHeight="1" x14ac:dyDescent="0.25">
      <c r="A28" s="79"/>
      <c r="B28" s="44" t="s">
        <v>55</v>
      </c>
      <c r="C28" s="50">
        <v>7.1062479574983451E-6</v>
      </c>
      <c r="D28" s="51">
        <v>9.8762514882460932E-4</v>
      </c>
      <c r="E28" s="51">
        <v>1.3718342896520039E-3</v>
      </c>
      <c r="F28" s="51">
        <v>1.4171838360886964E-5</v>
      </c>
      <c r="G28" s="51">
        <v>1.4413097184735054E-5</v>
      </c>
      <c r="H28" s="51">
        <v>2.0931406618931685E-5</v>
      </c>
      <c r="I28" s="51">
        <v>6.7314932604447918E-5</v>
      </c>
      <c r="J28" s="51">
        <v>1.159512412086931E-4</v>
      </c>
      <c r="K28" s="51">
        <v>1.9158881243733624E-5</v>
      </c>
      <c r="L28" s="51">
        <v>5.8326413567155264E-6</v>
      </c>
      <c r="M28" s="51">
        <v>1.5256032456587036E-3</v>
      </c>
      <c r="N28" s="51">
        <v>8.0297812486446424E-4</v>
      </c>
      <c r="O28" s="51">
        <v>7.0949994348843588E-7</v>
      </c>
      <c r="P28" s="51">
        <v>3.0692739826982075E-3</v>
      </c>
      <c r="Q28" s="51">
        <v>1.3598813259036092E-5</v>
      </c>
      <c r="R28" s="51">
        <v>1.0489863360200689E-4</v>
      </c>
      <c r="S28" s="51">
        <v>8.601749674940533E-4</v>
      </c>
      <c r="T28" s="51">
        <v>1.7578459562353193E-3</v>
      </c>
      <c r="U28" s="52">
        <v>5.9248553900384543E-5</v>
      </c>
    </row>
    <row r="29" spans="1:21" ht="15.75" customHeight="1" x14ac:dyDescent="0.25">
      <c r="A29" s="79"/>
      <c r="B29" s="44" t="s">
        <v>56</v>
      </c>
      <c r="C29" s="50">
        <v>2.2750929446228926E-5</v>
      </c>
      <c r="D29" s="51">
        <v>3.1619203572147885E-3</v>
      </c>
      <c r="E29" s="51">
        <v>4.391980876892668E-3</v>
      </c>
      <c r="F29" s="51">
        <v>4.5371692150382578E-5</v>
      </c>
      <c r="G29" s="51">
        <v>4.6144091665918248E-5</v>
      </c>
      <c r="H29" s="51">
        <v>6.7012713044323118E-5</v>
      </c>
      <c r="I29" s="51">
        <v>2.1551137696306687E-4</v>
      </c>
      <c r="J29" s="51">
        <v>3.7122241212510676E-4</v>
      </c>
      <c r="K29" s="51">
        <v>6.1337904060177007E-5</v>
      </c>
      <c r="L29" s="51">
        <v>1.8673428338758162E-5</v>
      </c>
      <c r="M29" s="51">
        <v>4.8842781749959931E-3</v>
      </c>
      <c r="N29" s="51">
        <v>2.5707657226314677E-3</v>
      </c>
      <c r="O29" s="51">
        <v>2.2714916863232145E-6</v>
      </c>
      <c r="P29" s="51">
        <v>9.8264001269236945E-3</v>
      </c>
      <c r="Q29" s="51">
        <v>4.3537129981837481E-5</v>
      </c>
      <c r="R29" s="51">
        <v>3.3583705865017778E-4</v>
      </c>
      <c r="S29" s="51">
        <v>2.7538836406939466E-3</v>
      </c>
      <c r="T29" s="51">
        <v>5.6278122529413417E-3</v>
      </c>
      <c r="U29" s="52">
        <v>1.8968655155867522E-4</v>
      </c>
    </row>
    <row r="30" spans="1:21" ht="15.75" customHeight="1" x14ac:dyDescent="0.25">
      <c r="A30" s="79"/>
      <c r="B30" s="44" t="s">
        <v>57</v>
      </c>
      <c r="C30" s="50">
        <v>9.1799981829442729E-6</v>
      </c>
      <c r="D30" s="51">
        <v>1.2758346072167849E-3</v>
      </c>
      <c r="E30" s="51">
        <v>1.7721639269591973E-3</v>
      </c>
      <c r="F30" s="51">
        <v>1.8307474096037771E-5</v>
      </c>
      <c r="G30" s="51">
        <v>1.8619137237795691E-5</v>
      </c>
      <c r="H30" s="51">
        <v>2.7039624268318438E-5</v>
      </c>
      <c r="I30" s="51">
        <v>8.6958823093387952E-5</v>
      </c>
      <c r="J30" s="51">
        <v>1.4978821312909186E-4</v>
      </c>
      <c r="K30" s="51">
        <v>2.4749839304317679E-5</v>
      </c>
      <c r="L30" s="51">
        <v>7.5347268173940044E-6</v>
      </c>
      <c r="M30" s="51">
        <v>1.9708058467426542E-3</v>
      </c>
      <c r="N30" s="51">
        <v>1.0373037601962255E-3</v>
      </c>
      <c r="O30" s="51">
        <v>9.1654671086312463E-7</v>
      </c>
      <c r="P30" s="51">
        <v>3.9649516527772016E-3</v>
      </c>
      <c r="Q30" s="51">
        <v>1.7567228410095748E-5</v>
      </c>
      <c r="R30" s="51">
        <v>1.355102258771674E-4</v>
      </c>
      <c r="S30" s="51">
        <v>1.1111918252553316E-3</v>
      </c>
      <c r="T30" s="51">
        <v>2.2708217867783184E-3</v>
      </c>
      <c r="U30" s="52">
        <v>7.6538508141092061E-5</v>
      </c>
    </row>
    <row r="31" spans="1:21" ht="15.75" customHeight="1" x14ac:dyDescent="0.25">
      <c r="A31" s="80"/>
      <c r="B31" s="53" t="s">
        <v>68</v>
      </c>
      <c r="C31" s="54">
        <v>1.0110918805871303E-5</v>
      </c>
      <c r="D31" s="55">
        <v>1.4052137991984093E-3</v>
      </c>
      <c r="E31" s="55">
        <v>1.9518746321180243E-3</v>
      </c>
      <c r="F31" s="55">
        <v>2.0163989190056865E-5</v>
      </c>
      <c r="G31" s="55">
        <v>2.0507257310409198E-5</v>
      </c>
      <c r="H31" s="55">
        <v>2.9781644840211682E-5</v>
      </c>
      <c r="I31" s="55">
        <v>9.5777099540707967E-5</v>
      </c>
      <c r="J31" s="55">
        <v>1.6497786065345968E-4</v>
      </c>
      <c r="K31" s="55">
        <v>2.7259658518152173E-5</v>
      </c>
      <c r="L31" s="55">
        <v>8.2988045919915337E-6</v>
      </c>
      <c r="M31" s="55">
        <v>2.1706603314555779E-3</v>
      </c>
      <c r="N31" s="55">
        <v>1.1424941364209745E-3</v>
      </c>
      <c r="O31" s="55">
        <v>1.0094914171707641E-6</v>
      </c>
      <c r="P31" s="55">
        <v>4.3670274690160984E-3</v>
      </c>
      <c r="Q31" s="55">
        <v>1.9348677043169732E-5</v>
      </c>
      <c r="R31" s="55">
        <v>1.4925197847586951E-4</v>
      </c>
      <c r="S31" s="55">
        <v>1.223875005092993E-3</v>
      </c>
      <c r="T31" s="55">
        <v>2.501100136531318E-3</v>
      </c>
      <c r="U31" s="56">
        <v>8.4300086548481099E-5</v>
      </c>
    </row>
    <row r="32" spans="1:21" ht="15.75" customHeight="1" x14ac:dyDescent="0.25"/>
    <row r="33" spans="2:21" ht="15.75" customHeight="1" x14ac:dyDescent="0.25">
      <c r="B33" s="57" t="s">
        <v>138</v>
      </c>
    </row>
    <row r="34" spans="2:21" ht="15.75" customHeight="1" x14ac:dyDescent="0.25">
      <c r="C34" s="45" t="s">
        <v>41</v>
      </c>
      <c r="D34" s="45" t="s">
        <v>42</v>
      </c>
      <c r="E34" s="45" t="s">
        <v>43</v>
      </c>
      <c r="F34" s="45" t="s">
        <v>66</v>
      </c>
      <c r="G34" s="45" t="s">
        <v>44</v>
      </c>
      <c r="H34" s="45" t="s">
        <v>45</v>
      </c>
      <c r="I34" s="45" t="s">
        <v>46</v>
      </c>
      <c r="J34" s="45" t="s">
        <v>47</v>
      </c>
      <c r="K34" s="45" t="s">
        <v>48</v>
      </c>
      <c r="L34" s="45" t="s">
        <v>49</v>
      </c>
      <c r="M34" s="45" t="s">
        <v>50</v>
      </c>
      <c r="N34" s="45" t="s">
        <v>51</v>
      </c>
      <c r="O34" s="45" t="s">
        <v>52</v>
      </c>
      <c r="P34" s="45" t="s">
        <v>67</v>
      </c>
      <c r="Q34" s="45" t="s">
        <v>54</v>
      </c>
      <c r="R34" s="45" t="s">
        <v>55</v>
      </c>
      <c r="S34" s="45" t="s">
        <v>56</v>
      </c>
      <c r="T34" s="45" t="s">
        <v>57</v>
      </c>
      <c r="U34" s="46" t="s">
        <v>68</v>
      </c>
    </row>
    <row r="35" spans="2:21" ht="15.75" customHeight="1" x14ac:dyDescent="0.25">
      <c r="C35" s="1">
        <v>2.1679095100103152E-3</v>
      </c>
      <c r="D35" s="1">
        <v>9.0973211275751785E-4</v>
      </c>
      <c r="E35" s="1">
        <v>0.30680653445179951</v>
      </c>
      <c r="F35" s="1">
        <v>6.2439460058428945E-4</v>
      </c>
      <c r="G35" s="1">
        <v>4.6007889203501309E-3</v>
      </c>
      <c r="H35" s="1">
        <v>8.9996202395122959E-4</v>
      </c>
      <c r="I35" s="1">
        <v>0.45030943971659493</v>
      </c>
      <c r="J35" s="1">
        <v>7.4513698603326031E-2</v>
      </c>
      <c r="K35" s="1">
        <v>7.2827896830535447E-3</v>
      </c>
      <c r="L35" s="1">
        <v>3.2330401362567769E-4</v>
      </c>
      <c r="M35" s="1">
        <v>6.2471061681180239E-2</v>
      </c>
      <c r="N35" s="1">
        <v>3.1616261972297055E-3</v>
      </c>
      <c r="O35" s="1">
        <v>3.2900089830715552E-2</v>
      </c>
      <c r="P35" s="1">
        <v>4.4404162541562257E-2</v>
      </c>
      <c r="Q35" s="1">
        <v>5.8655539670586336E-4</v>
      </c>
      <c r="R35" s="1">
        <v>1.1621950264392288E-3</v>
      </c>
      <c r="S35" s="1">
        <v>3.7208126155205599E-3</v>
      </c>
      <c r="T35" s="1">
        <v>1.5013475880308073E-3</v>
      </c>
      <c r="U35" s="1">
        <v>1.653595486562675E-3</v>
      </c>
    </row>
    <row r="36" spans="2:21" ht="15.75" customHeight="1" x14ac:dyDescent="0.25"/>
    <row r="37" spans="2:21" ht="15.75" customHeight="1" x14ac:dyDescent="0.25">
      <c r="B37" s="2" t="s">
        <v>139</v>
      </c>
      <c r="C37" s="58">
        <v>0.37914047142715801</v>
      </c>
      <c r="E37" s="1" t="s">
        <v>140</v>
      </c>
    </row>
    <row r="38" spans="2:21" ht="15.75" customHeight="1" x14ac:dyDescent="0.25"/>
    <row r="39" spans="2:21" ht="15.75" customHeight="1" x14ac:dyDescent="0.25"/>
    <row r="40" spans="2:21" ht="15.75" customHeight="1" x14ac:dyDescent="0.25"/>
    <row r="41" spans="2:21" ht="15.75" customHeight="1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 ht="15.75" customHeight="1" x14ac:dyDescent="0.25"/>
    <row r="43" spans="2:21" ht="15.75" customHeight="1" x14ac:dyDescent="0.25"/>
    <row r="44" spans="2:21" ht="15.75" customHeight="1" x14ac:dyDescent="0.25"/>
    <row r="45" spans="2:21" ht="15.75" customHeight="1" x14ac:dyDescent="0.25"/>
    <row r="46" spans="2:21" ht="15.75" customHeight="1" x14ac:dyDescent="0.25"/>
    <row r="47" spans="2:21" ht="15.75" customHeight="1" x14ac:dyDescent="0.25"/>
    <row r="48" spans="2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11:U11"/>
    <mergeCell ref="A13:A3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defaultColWidth="12.59765625" defaultRowHeight="15" customHeight="1" x14ac:dyDescent="0.25"/>
  <cols>
    <col min="1" max="1" width="6.59765625" customWidth="1"/>
    <col min="2" max="2" width="9.69921875" customWidth="1"/>
    <col min="3" max="3" width="15" customWidth="1"/>
    <col min="4" max="4" width="15.69921875" customWidth="1"/>
    <col min="5" max="5" width="15.8984375" customWidth="1"/>
    <col min="6" max="20" width="5.69921875" customWidth="1"/>
    <col min="21" max="21" width="7.69921875" customWidth="1"/>
    <col min="22" max="22" width="10.5" customWidth="1"/>
    <col min="23" max="23" width="9.59765625" customWidth="1"/>
    <col min="24" max="24" width="10.5" customWidth="1"/>
    <col min="25" max="25" width="0.69921875" customWidth="1"/>
    <col min="26" max="26" width="5.69921875" customWidth="1"/>
    <col min="27" max="27" width="9.59765625" customWidth="1"/>
  </cols>
  <sheetData>
    <row r="1" spans="1:27" ht="15" customHeight="1" x14ac:dyDescent="0.3">
      <c r="A1" s="16" t="s">
        <v>141</v>
      </c>
      <c r="B1" s="16" t="s">
        <v>41</v>
      </c>
      <c r="C1" s="16" t="s">
        <v>42</v>
      </c>
      <c r="D1" s="16" t="s">
        <v>43</v>
      </c>
      <c r="E1" s="16" t="s">
        <v>66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67</v>
      </c>
      <c r="P1" s="16" t="s">
        <v>54</v>
      </c>
      <c r="Q1" s="16" t="s">
        <v>55</v>
      </c>
      <c r="R1" s="16" t="s">
        <v>56</v>
      </c>
      <c r="S1" s="16" t="s">
        <v>57</v>
      </c>
      <c r="T1" s="16" t="s">
        <v>68</v>
      </c>
      <c r="U1" s="16"/>
      <c r="V1" s="16" t="s">
        <v>142</v>
      </c>
      <c r="W1" s="16" t="s">
        <v>143</v>
      </c>
      <c r="X1" s="16" t="s">
        <v>144</v>
      </c>
      <c r="Y1" s="16"/>
      <c r="Z1" s="28"/>
      <c r="AA1" s="59" t="s">
        <v>145</v>
      </c>
    </row>
    <row r="2" spans="1:27" ht="15" customHeight="1" x14ac:dyDescent="0.3">
      <c r="A2" s="16" t="s">
        <v>41</v>
      </c>
      <c r="B2" s="14">
        <v>484278540</v>
      </c>
      <c r="C2" s="14">
        <v>262830</v>
      </c>
      <c r="D2" s="19">
        <v>6807975350.0000019</v>
      </c>
      <c r="E2" s="14">
        <v>925800</v>
      </c>
      <c r="F2" s="14">
        <v>21215810</v>
      </c>
      <c r="G2" s="14">
        <v>292190</v>
      </c>
      <c r="H2" s="14">
        <v>11660979.999999998</v>
      </c>
      <c r="I2" s="19">
        <v>121397320.00000001</v>
      </c>
      <c r="J2" s="14">
        <v>21199980</v>
      </c>
      <c r="K2" s="19">
        <v>411859280</v>
      </c>
      <c r="L2" s="14">
        <v>14701970.000000002</v>
      </c>
      <c r="M2" s="14">
        <v>1978140</v>
      </c>
      <c r="N2" s="14">
        <v>3607740</v>
      </c>
      <c r="O2" s="19">
        <v>375639100.00000006</v>
      </c>
      <c r="P2" s="14">
        <v>2104590</v>
      </c>
      <c r="Q2" s="14">
        <v>230820</v>
      </c>
      <c r="R2" s="14">
        <v>7411110.0000000009</v>
      </c>
      <c r="S2" s="14">
        <v>4279109.9999999991</v>
      </c>
      <c r="T2" s="14">
        <v>2867709.9999999995</v>
      </c>
      <c r="U2" s="28"/>
      <c r="V2" s="14">
        <v>3269358910</v>
      </c>
      <c r="W2" s="14">
        <v>0</v>
      </c>
      <c r="X2" s="19">
        <v>406942400</v>
      </c>
      <c r="Y2" s="28"/>
      <c r="Z2" s="16" t="s">
        <v>41</v>
      </c>
      <c r="AA2" s="14">
        <v>5157357730</v>
      </c>
    </row>
    <row r="3" spans="1:27" ht="15" customHeight="1" x14ac:dyDescent="0.3">
      <c r="A3" s="16" t="s">
        <v>42</v>
      </c>
      <c r="B3" s="14">
        <v>11054280</v>
      </c>
      <c r="C3" s="19">
        <v>205672910</v>
      </c>
      <c r="D3" s="19">
        <v>4863846940</v>
      </c>
      <c r="E3" s="19">
        <v>29534178500</v>
      </c>
      <c r="F3" s="19">
        <v>6084284960</v>
      </c>
      <c r="G3" s="19">
        <v>183114960</v>
      </c>
      <c r="H3" s="14">
        <v>66297349.999999993</v>
      </c>
      <c r="I3" s="19">
        <v>2093846520</v>
      </c>
      <c r="J3" s="19">
        <v>373391730</v>
      </c>
      <c r="K3" s="19">
        <v>218145130</v>
      </c>
      <c r="L3" s="14">
        <v>18798990</v>
      </c>
      <c r="M3" s="14">
        <v>36793049.999999993</v>
      </c>
      <c r="N3" s="14">
        <v>30792770</v>
      </c>
      <c r="O3" s="19">
        <v>99993190</v>
      </c>
      <c r="P3" s="19">
        <v>237809140</v>
      </c>
      <c r="Q3" s="14">
        <v>4421280</v>
      </c>
      <c r="R3" s="14">
        <v>92452990</v>
      </c>
      <c r="S3" s="14">
        <v>35820380</v>
      </c>
      <c r="T3" s="14">
        <v>33913460</v>
      </c>
      <c r="U3" s="28"/>
      <c r="V3" s="14">
        <v>8714994240</v>
      </c>
      <c r="W3" s="14">
        <v>0</v>
      </c>
      <c r="X3" s="14">
        <v>4812880</v>
      </c>
      <c r="Y3" s="28"/>
      <c r="Z3" s="16" t="s">
        <v>42</v>
      </c>
      <c r="AA3" s="14">
        <v>907541600</v>
      </c>
    </row>
    <row r="4" spans="1:27" ht="15" customHeight="1" x14ac:dyDescent="0.3">
      <c r="A4" s="16" t="s">
        <v>43</v>
      </c>
      <c r="B4" s="14">
        <v>608267390</v>
      </c>
      <c r="C4" s="19">
        <v>293885010</v>
      </c>
      <c r="D4" s="19">
        <v>152858928820</v>
      </c>
      <c r="E4" s="19">
        <v>851308719.99999988</v>
      </c>
      <c r="F4" s="19">
        <v>1031103630.0000001</v>
      </c>
      <c r="G4" s="19">
        <v>216507310</v>
      </c>
      <c r="H4" s="19">
        <v>4503356379.999999</v>
      </c>
      <c r="I4" s="19">
        <v>3527698169.9999995</v>
      </c>
      <c r="J4" s="19">
        <v>2166686140</v>
      </c>
      <c r="K4" s="19">
        <v>488208500.00000006</v>
      </c>
      <c r="L4" s="19">
        <v>2937270699.9999995</v>
      </c>
      <c r="M4" s="14">
        <v>56629250.000000007</v>
      </c>
      <c r="N4" s="19">
        <v>122348860.00000001</v>
      </c>
      <c r="O4" s="19">
        <v>2850230909.9999995</v>
      </c>
      <c r="P4" s="19">
        <v>333976600</v>
      </c>
      <c r="Q4" s="14">
        <v>15041190.000000002</v>
      </c>
      <c r="R4" s="19">
        <v>4673810350</v>
      </c>
      <c r="S4" s="19">
        <v>230487040.00000003</v>
      </c>
      <c r="T4" s="14">
        <v>254446320</v>
      </c>
      <c r="U4" s="28"/>
      <c r="V4" s="19">
        <v>61241444199.999992</v>
      </c>
      <c r="W4" s="19">
        <v>4344078570.000001</v>
      </c>
      <c r="X4" s="19">
        <v>24684213080</v>
      </c>
      <c r="Y4" s="28"/>
      <c r="Z4" s="16" t="s">
        <v>43</v>
      </c>
      <c r="AA4" s="19">
        <v>293136379779.99994</v>
      </c>
    </row>
    <row r="5" spans="1:27" ht="15" customHeight="1" x14ac:dyDescent="0.3">
      <c r="A5" s="16" t="s">
        <v>66</v>
      </c>
      <c r="B5" s="14">
        <v>7633310</v>
      </c>
      <c r="C5" s="14">
        <v>3330960</v>
      </c>
      <c r="D5" s="19">
        <v>2277230400.0000005</v>
      </c>
      <c r="E5" s="19">
        <v>2300971970</v>
      </c>
      <c r="F5" s="19">
        <v>654050180</v>
      </c>
      <c r="G5" s="14">
        <v>1057430</v>
      </c>
      <c r="H5" s="19">
        <v>154945580</v>
      </c>
      <c r="I5" s="14">
        <v>23774230</v>
      </c>
      <c r="J5" s="19">
        <v>3404654069.9999995</v>
      </c>
      <c r="K5" s="14">
        <v>160690</v>
      </c>
      <c r="L5" s="14">
        <v>5021910</v>
      </c>
      <c r="M5" s="14">
        <v>101170.00000000001</v>
      </c>
      <c r="N5" s="14">
        <v>37820</v>
      </c>
      <c r="O5" s="14">
        <v>8471400</v>
      </c>
      <c r="P5" s="14">
        <v>662220</v>
      </c>
      <c r="Q5" s="14">
        <v>23750</v>
      </c>
      <c r="R5" s="14">
        <v>465999.99999999994</v>
      </c>
      <c r="S5" s="14">
        <v>298160</v>
      </c>
      <c r="T5" s="14">
        <v>240340</v>
      </c>
      <c r="U5" s="28"/>
      <c r="V5" s="14">
        <v>1632831760</v>
      </c>
      <c r="W5" s="14">
        <v>0</v>
      </c>
      <c r="X5" s="14">
        <v>449740</v>
      </c>
      <c r="Y5" s="28"/>
      <c r="Z5" s="16" t="s">
        <v>66</v>
      </c>
      <c r="AA5" s="14">
        <v>11907771130</v>
      </c>
    </row>
    <row r="6" spans="1:27" ht="15" customHeight="1" x14ac:dyDescent="0.3">
      <c r="A6" s="16" t="s">
        <v>44</v>
      </c>
      <c r="B6" s="14">
        <v>648740</v>
      </c>
      <c r="C6" s="14">
        <v>4194740</v>
      </c>
      <c r="D6" s="19">
        <v>224241890</v>
      </c>
      <c r="E6" s="19">
        <v>1614860360</v>
      </c>
      <c r="F6" s="19">
        <v>2767730100</v>
      </c>
      <c r="G6" s="14">
        <v>11289179.999999998</v>
      </c>
      <c r="H6" s="14">
        <v>7175130</v>
      </c>
      <c r="I6" s="19">
        <v>124079169.99999999</v>
      </c>
      <c r="J6" s="14">
        <v>36153450</v>
      </c>
      <c r="K6" s="14">
        <v>13909960</v>
      </c>
      <c r="L6" s="14">
        <v>11513039.999999998</v>
      </c>
      <c r="M6" s="14">
        <v>19574570</v>
      </c>
      <c r="N6" s="14">
        <v>1865250</v>
      </c>
      <c r="O6" s="14">
        <v>22159860.000000004</v>
      </c>
      <c r="P6" s="19">
        <v>212413190</v>
      </c>
      <c r="Q6" s="14">
        <v>352570</v>
      </c>
      <c r="R6" s="14">
        <v>6122059.9999999991</v>
      </c>
      <c r="S6" s="14">
        <v>2761110</v>
      </c>
      <c r="T6" s="14">
        <v>2041770</v>
      </c>
      <c r="U6" s="28"/>
      <c r="V6" s="14">
        <v>477108240</v>
      </c>
      <c r="W6" s="14">
        <v>0</v>
      </c>
      <c r="X6" s="14">
        <v>2202670</v>
      </c>
      <c r="Y6" s="28"/>
      <c r="Z6" s="16" t="s">
        <v>44</v>
      </c>
      <c r="AA6" s="14">
        <v>696613900</v>
      </c>
    </row>
    <row r="7" spans="1:27" ht="15" customHeight="1" x14ac:dyDescent="0.3">
      <c r="A7" s="16" t="s">
        <v>45</v>
      </c>
      <c r="B7" s="14">
        <v>598180</v>
      </c>
      <c r="C7" s="14">
        <v>158809.99999999997</v>
      </c>
      <c r="D7" s="19">
        <v>2358812599.9999995</v>
      </c>
      <c r="E7" s="14">
        <v>1402540</v>
      </c>
      <c r="F7" s="14">
        <v>32021839.999999996</v>
      </c>
      <c r="G7" s="19">
        <v>283687910</v>
      </c>
      <c r="H7" s="14">
        <v>11845630</v>
      </c>
      <c r="I7" s="14">
        <v>13291989.999999998</v>
      </c>
      <c r="J7" s="19">
        <v>130851560</v>
      </c>
      <c r="K7" s="14">
        <v>5947349.9999999991</v>
      </c>
      <c r="L7" s="14">
        <v>4270160</v>
      </c>
      <c r="M7" s="14">
        <v>330430</v>
      </c>
      <c r="N7" s="14">
        <v>48720</v>
      </c>
      <c r="O7" s="14">
        <v>31485680.000000004</v>
      </c>
      <c r="P7" s="14">
        <v>29715840</v>
      </c>
      <c r="Q7" s="14">
        <v>22030</v>
      </c>
      <c r="R7" s="14">
        <v>915890</v>
      </c>
      <c r="S7" s="14">
        <v>383270</v>
      </c>
      <c r="T7" s="14">
        <v>15219720</v>
      </c>
      <c r="U7" s="28"/>
      <c r="V7" s="14">
        <v>1047099.9999999999</v>
      </c>
      <c r="W7" s="14">
        <v>0</v>
      </c>
      <c r="X7" s="14">
        <v>917530</v>
      </c>
      <c r="Y7" s="28"/>
      <c r="Z7" s="16" t="s">
        <v>45</v>
      </c>
      <c r="AA7" s="14">
        <v>1051698320</v>
      </c>
    </row>
    <row r="8" spans="1:27" ht="15" customHeight="1" x14ac:dyDescent="0.3">
      <c r="A8" s="16" t="s">
        <v>46</v>
      </c>
      <c r="B8" s="14">
        <v>1351270</v>
      </c>
      <c r="C8" s="14">
        <v>2605830</v>
      </c>
      <c r="D8" s="19">
        <v>133216589.99999997</v>
      </c>
      <c r="E8" s="14">
        <v>4337720</v>
      </c>
      <c r="F8" s="14">
        <v>5262850</v>
      </c>
      <c r="G8" s="14">
        <v>7835070</v>
      </c>
      <c r="H8" s="19">
        <v>198030780</v>
      </c>
      <c r="I8" s="14">
        <v>40003479.999999993</v>
      </c>
      <c r="J8" s="14">
        <v>20084000</v>
      </c>
      <c r="K8" s="14">
        <v>9279150</v>
      </c>
      <c r="L8" s="14">
        <v>24100400</v>
      </c>
      <c r="M8" s="14">
        <v>8052230</v>
      </c>
      <c r="N8" s="14">
        <v>13227430</v>
      </c>
      <c r="O8" s="14">
        <v>61232780.000000007</v>
      </c>
      <c r="P8" s="19">
        <v>195585280</v>
      </c>
      <c r="Q8" s="14">
        <v>5457340</v>
      </c>
      <c r="R8" s="14">
        <v>17463520.000000004</v>
      </c>
      <c r="S8" s="14">
        <v>3700210</v>
      </c>
      <c r="T8" s="14">
        <v>3829430</v>
      </c>
      <c r="U8" s="28"/>
      <c r="V8" s="14">
        <v>9574100</v>
      </c>
      <c r="W8" s="14">
        <v>0</v>
      </c>
      <c r="X8" s="14">
        <v>10661750</v>
      </c>
      <c r="Y8" s="28"/>
      <c r="Z8" s="16" t="s">
        <v>46</v>
      </c>
      <c r="AA8" s="14">
        <v>894447690</v>
      </c>
    </row>
    <row r="9" spans="1:27" ht="15" customHeight="1" x14ac:dyDescent="0.3">
      <c r="A9" s="16" t="s">
        <v>47</v>
      </c>
      <c r="B9" s="14">
        <v>29159830</v>
      </c>
      <c r="C9" s="14">
        <v>16197499.999999998</v>
      </c>
      <c r="D9" s="19">
        <v>3331193180</v>
      </c>
      <c r="E9" s="19">
        <v>204440580</v>
      </c>
      <c r="F9" s="19">
        <v>106446550</v>
      </c>
      <c r="G9" s="14">
        <v>42429610.000000007</v>
      </c>
      <c r="H9" s="19">
        <v>237162150</v>
      </c>
      <c r="I9" s="19">
        <v>1286911190</v>
      </c>
      <c r="J9" s="19">
        <v>618588940</v>
      </c>
      <c r="K9" s="19">
        <v>109763269.99999999</v>
      </c>
      <c r="L9" s="19">
        <v>481394340.00000006</v>
      </c>
      <c r="M9" s="19">
        <v>134113489.99999999</v>
      </c>
      <c r="N9" s="14">
        <v>25634249.999999996</v>
      </c>
      <c r="O9" s="19">
        <v>894723480</v>
      </c>
      <c r="P9" s="14">
        <v>22579280</v>
      </c>
      <c r="Q9" s="14">
        <v>7237370</v>
      </c>
      <c r="R9" s="19">
        <v>145048820</v>
      </c>
      <c r="S9" s="14">
        <v>37241389.999999993</v>
      </c>
      <c r="T9" s="14">
        <v>12409670</v>
      </c>
      <c r="U9" s="28"/>
      <c r="V9" s="14">
        <v>1642791820</v>
      </c>
      <c r="W9" s="19">
        <v>104492370</v>
      </c>
      <c r="X9" s="19">
        <v>407191380</v>
      </c>
      <c r="Y9" s="28"/>
      <c r="Z9" s="16" t="s">
        <v>47</v>
      </c>
      <c r="AA9" s="14">
        <v>16013528090</v>
      </c>
    </row>
    <row r="10" spans="1:27" ht="15" customHeight="1" x14ac:dyDescent="0.3">
      <c r="A10" s="16" t="s">
        <v>48</v>
      </c>
      <c r="B10" s="14">
        <v>43478480</v>
      </c>
      <c r="C10" s="14">
        <v>16937110</v>
      </c>
      <c r="D10" s="19">
        <v>1621239210.0000002</v>
      </c>
      <c r="E10" s="19">
        <v>100588310</v>
      </c>
      <c r="F10" s="19">
        <v>352160349.99999994</v>
      </c>
      <c r="G10" s="14">
        <v>68963770</v>
      </c>
      <c r="H10" s="19">
        <v>293710799.99999994</v>
      </c>
      <c r="I10" s="19">
        <v>1008560919.9999999</v>
      </c>
      <c r="J10" s="19">
        <v>2411719440</v>
      </c>
      <c r="K10" s="19">
        <v>107061399.99999999</v>
      </c>
      <c r="L10" s="19">
        <v>336257000.00000006</v>
      </c>
      <c r="M10" s="19">
        <v>102542620</v>
      </c>
      <c r="N10" s="14">
        <v>28315690</v>
      </c>
      <c r="O10" s="19">
        <v>498372480.00000006</v>
      </c>
      <c r="P10" s="19">
        <v>423204770</v>
      </c>
      <c r="Q10" s="14">
        <v>14727480</v>
      </c>
      <c r="R10" s="14">
        <v>60966950</v>
      </c>
      <c r="S10" s="14">
        <v>25768580</v>
      </c>
      <c r="T10" s="14">
        <v>36113249.999999993</v>
      </c>
      <c r="U10" s="28"/>
      <c r="V10" s="14">
        <v>5484086960</v>
      </c>
      <c r="W10" s="14">
        <v>0</v>
      </c>
      <c r="X10" s="19">
        <v>102959530</v>
      </c>
      <c r="Y10" s="28"/>
      <c r="Z10" s="16" t="s">
        <v>48</v>
      </c>
      <c r="AA10" s="14">
        <v>14499135320</v>
      </c>
    </row>
    <row r="11" spans="1:27" ht="15" customHeight="1" x14ac:dyDescent="0.3">
      <c r="A11" s="16" t="s">
        <v>49</v>
      </c>
      <c r="B11" s="14">
        <v>3527890</v>
      </c>
      <c r="C11" s="14">
        <v>4554250</v>
      </c>
      <c r="D11" s="19">
        <v>601836340.00000012</v>
      </c>
      <c r="E11" s="14">
        <v>12049430</v>
      </c>
      <c r="F11" s="14">
        <v>37502720</v>
      </c>
      <c r="G11" s="14">
        <v>6747920.0000000009</v>
      </c>
      <c r="H11" s="19">
        <v>224414320</v>
      </c>
      <c r="I11" s="19">
        <v>553547120.00000012</v>
      </c>
      <c r="J11" s="19">
        <v>122425630</v>
      </c>
      <c r="K11" s="14">
        <v>47466990</v>
      </c>
      <c r="L11" s="19">
        <v>206024230</v>
      </c>
      <c r="M11" s="14">
        <v>45100480.000000007</v>
      </c>
      <c r="N11" s="14">
        <v>81900310</v>
      </c>
      <c r="O11" s="19">
        <v>653468630</v>
      </c>
      <c r="P11" s="14">
        <v>67950</v>
      </c>
      <c r="Q11" s="14">
        <v>5387220</v>
      </c>
      <c r="R11" s="19">
        <v>109572420.00000001</v>
      </c>
      <c r="S11" s="14">
        <v>41732640</v>
      </c>
      <c r="T11" s="14">
        <v>10133970</v>
      </c>
      <c r="U11" s="28"/>
      <c r="V11" s="14">
        <v>28146890</v>
      </c>
      <c r="W11" s="14">
        <v>0</v>
      </c>
      <c r="X11" s="14">
        <v>379260</v>
      </c>
      <c r="Y11" s="28"/>
      <c r="Z11" s="16" t="s">
        <v>49</v>
      </c>
      <c r="AA11" s="14">
        <v>44533390</v>
      </c>
    </row>
    <row r="12" spans="1:27" ht="15" customHeight="1" x14ac:dyDescent="0.3">
      <c r="A12" s="16" t="s">
        <v>50</v>
      </c>
      <c r="B12" s="14">
        <v>5681570.0000000009</v>
      </c>
      <c r="C12" s="14">
        <v>17534570.000000004</v>
      </c>
      <c r="D12" s="19">
        <v>2498517849.9999995</v>
      </c>
      <c r="E12" s="14">
        <v>14725550</v>
      </c>
      <c r="F12" s="19">
        <v>523051310.00000006</v>
      </c>
      <c r="G12" s="14">
        <v>70853820</v>
      </c>
      <c r="H12" s="19">
        <v>980156000</v>
      </c>
      <c r="I12" s="19">
        <v>865551019.99999988</v>
      </c>
      <c r="J12" s="19">
        <v>509538389.99999994</v>
      </c>
      <c r="K12" s="19">
        <v>166834270</v>
      </c>
      <c r="L12" s="19">
        <v>1685827060</v>
      </c>
      <c r="M12" s="19">
        <v>607040549.99999988</v>
      </c>
      <c r="N12" s="19">
        <v>100404540</v>
      </c>
      <c r="O12" s="19">
        <v>1803109289.9999998</v>
      </c>
      <c r="P12" s="14">
        <v>60573219.999999993</v>
      </c>
      <c r="Q12" s="14">
        <v>29415830</v>
      </c>
      <c r="R12" s="19">
        <v>174035170</v>
      </c>
      <c r="S12" s="19">
        <v>175951700</v>
      </c>
      <c r="T12" s="14">
        <v>81954720</v>
      </c>
      <c r="U12" s="28"/>
      <c r="V12" s="14">
        <v>1627802669.9999998</v>
      </c>
      <c r="W12" s="14">
        <v>0</v>
      </c>
      <c r="X12" s="19">
        <v>2008859579.9999998</v>
      </c>
      <c r="Y12" s="28"/>
      <c r="Z12" s="16" t="s">
        <v>50</v>
      </c>
      <c r="AA12" s="14">
        <v>9472519190</v>
      </c>
    </row>
    <row r="13" spans="1:27" ht="15" customHeight="1" x14ac:dyDescent="0.3">
      <c r="A13" s="16" t="s">
        <v>51</v>
      </c>
      <c r="B13" s="14">
        <v>113608889.99999999</v>
      </c>
      <c r="C13" s="14">
        <v>8634620</v>
      </c>
      <c r="D13" s="19">
        <v>1352032540.0000002</v>
      </c>
      <c r="E13" s="14">
        <v>26572430</v>
      </c>
      <c r="F13" s="14">
        <v>37184990</v>
      </c>
      <c r="G13" s="14">
        <v>87077660</v>
      </c>
      <c r="H13" s="19">
        <v>379336019.99999994</v>
      </c>
      <c r="I13" s="19">
        <v>1100294780.0000002</v>
      </c>
      <c r="J13" s="19">
        <v>489749720</v>
      </c>
      <c r="K13" s="19">
        <v>149157530</v>
      </c>
      <c r="L13" s="19">
        <v>230516370.00000003</v>
      </c>
      <c r="M13" s="19">
        <v>2221520730</v>
      </c>
      <c r="N13" s="19">
        <v>119756190</v>
      </c>
      <c r="O13" s="19">
        <v>716544870</v>
      </c>
      <c r="P13" s="14">
        <v>65911590.000000007</v>
      </c>
      <c r="Q13" s="14">
        <v>23365210</v>
      </c>
      <c r="R13" s="19">
        <v>138360130.00000003</v>
      </c>
      <c r="S13" s="14">
        <v>79548730</v>
      </c>
      <c r="T13" s="14">
        <v>42984220.000000007</v>
      </c>
      <c r="U13" s="28"/>
      <c r="V13" s="14">
        <v>57958230</v>
      </c>
      <c r="W13" s="14">
        <v>0</v>
      </c>
      <c r="X13" s="14">
        <v>26558940</v>
      </c>
      <c r="Y13" s="28"/>
      <c r="Z13" s="16" t="s">
        <v>51</v>
      </c>
      <c r="AA13" s="14">
        <v>4414897380</v>
      </c>
    </row>
    <row r="14" spans="1:27" ht="15" customHeight="1" x14ac:dyDescent="0.3">
      <c r="A14" s="16" t="s">
        <v>52</v>
      </c>
      <c r="B14" s="14">
        <v>22760060.000000004</v>
      </c>
      <c r="C14" s="14">
        <v>974950</v>
      </c>
      <c r="D14" s="19">
        <v>111682379.99999999</v>
      </c>
      <c r="E14" s="14">
        <v>753940</v>
      </c>
      <c r="F14" s="14">
        <v>75718790</v>
      </c>
      <c r="G14" s="14">
        <v>2526620.0000000005</v>
      </c>
      <c r="H14" s="19">
        <v>155984630</v>
      </c>
      <c r="I14" s="19">
        <v>260986279.99999997</v>
      </c>
      <c r="J14" s="14">
        <v>57467750</v>
      </c>
      <c r="K14" s="14">
        <v>46072580</v>
      </c>
      <c r="L14" s="14">
        <v>69051920</v>
      </c>
      <c r="M14" s="14">
        <v>23665770</v>
      </c>
      <c r="N14" s="19">
        <v>152586930</v>
      </c>
      <c r="O14" s="19">
        <v>129431300.00000001</v>
      </c>
      <c r="P14" s="14">
        <v>1678380</v>
      </c>
      <c r="Q14" s="14">
        <v>249780</v>
      </c>
      <c r="R14" s="14">
        <v>14414850.000000002</v>
      </c>
      <c r="S14" s="14">
        <v>8679360</v>
      </c>
      <c r="T14" s="14">
        <v>24447930</v>
      </c>
      <c r="U14" s="28"/>
      <c r="V14" s="14">
        <v>0</v>
      </c>
      <c r="W14" s="14">
        <v>0</v>
      </c>
      <c r="X14" s="14">
        <v>386670</v>
      </c>
      <c r="Y14" s="28"/>
      <c r="Z14" s="16" t="s">
        <v>52</v>
      </c>
      <c r="AA14" s="14">
        <v>1506869280</v>
      </c>
    </row>
    <row r="15" spans="1:27" ht="15" customHeight="1" x14ac:dyDescent="0.3">
      <c r="A15" s="16" t="s">
        <v>67</v>
      </c>
      <c r="B15" s="14">
        <v>35101050</v>
      </c>
      <c r="C15" s="14">
        <v>65709710</v>
      </c>
      <c r="D15" s="19">
        <v>3823875390</v>
      </c>
      <c r="E15" s="19">
        <v>148036330.00000003</v>
      </c>
      <c r="F15" s="14">
        <v>84641870.000000015</v>
      </c>
      <c r="G15" s="19">
        <v>333984330</v>
      </c>
      <c r="H15" s="19">
        <v>1002339589.9999999</v>
      </c>
      <c r="I15" s="19">
        <v>2729356050.0000005</v>
      </c>
      <c r="J15" s="19">
        <v>844514600</v>
      </c>
      <c r="K15" s="19">
        <v>428735410.00000006</v>
      </c>
      <c r="L15" s="19">
        <v>1529917770</v>
      </c>
      <c r="M15" s="19">
        <v>555392719.99999988</v>
      </c>
      <c r="N15" s="19">
        <v>365914310</v>
      </c>
      <c r="O15" s="19">
        <v>2632004799.9999995</v>
      </c>
      <c r="P15" s="19">
        <v>257751230.00000003</v>
      </c>
      <c r="Q15" s="19">
        <v>182425730</v>
      </c>
      <c r="R15" s="19">
        <v>617438109.99999988</v>
      </c>
      <c r="S15" s="19">
        <v>256405130</v>
      </c>
      <c r="T15" s="14">
        <v>118456300</v>
      </c>
      <c r="U15" s="28"/>
      <c r="V15" s="14">
        <v>120004700.00000001</v>
      </c>
      <c r="W15" s="14">
        <v>84242020</v>
      </c>
      <c r="X15" s="19">
        <v>302733170</v>
      </c>
      <c r="Y15" s="28"/>
      <c r="Z15" s="16" t="s">
        <v>67</v>
      </c>
      <c r="AA15" s="14">
        <v>14138603850</v>
      </c>
    </row>
    <row r="16" spans="1:27" ht="15" customHeight="1" x14ac:dyDescent="0.3">
      <c r="A16" s="16" t="s">
        <v>54</v>
      </c>
      <c r="B16" s="14">
        <v>70740</v>
      </c>
      <c r="C16" s="14">
        <v>121310</v>
      </c>
      <c r="D16" s="14">
        <v>24292319.999999996</v>
      </c>
      <c r="E16" s="14">
        <v>89500</v>
      </c>
      <c r="F16" s="14">
        <v>641640</v>
      </c>
      <c r="G16" s="14">
        <v>1564880</v>
      </c>
      <c r="H16" s="14">
        <v>5053280</v>
      </c>
      <c r="I16" s="14">
        <v>14314670</v>
      </c>
      <c r="J16" s="14">
        <v>3819079.9999999995</v>
      </c>
      <c r="K16" s="14">
        <v>1795470</v>
      </c>
      <c r="L16" s="14">
        <v>6293770</v>
      </c>
      <c r="M16" s="14">
        <v>3400430</v>
      </c>
      <c r="N16" s="14">
        <v>1985830</v>
      </c>
      <c r="O16" s="14">
        <v>15241190</v>
      </c>
      <c r="P16" s="14">
        <v>1188270</v>
      </c>
      <c r="Q16" s="14">
        <v>762080</v>
      </c>
      <c r="R16" s="14">
        <v>2387060</v>
      </c>
      <c r="S16" s="14">
        <v>1111380</v>
      </c>
      <c r="T16" s="14">
        <v>751620</v>
      </c>
      <c r="U16" s="28"/>
      <c r="V16" s="14">
        <v>3050290</v>
      </c>
      <c r="W16" s="14">
        <v>0</v>
      </c>
      <c r="X16" s="14">
        <v>12112050</v>
      </c>
      <c r="Y16" s="28"/>
      <c r="Z16" s="16" t="s">
        <v>54</v>
      </c>
      <c r="AA16" s="14">
        <v>99401920</v>
      </c>
    </row>
    <row r="17" spans="1:27" ht="15" customHeight="1" x14ac:dyDescent="0.3">
      <c r="A17" s="16" t="s">
        <v>55</v>
      </c>
      <c r="B17" s="14">
        <v>34140</v>
      </c>
      <c r="C17" s="14">
        <v>259040</v>
      </c>
      <c r="D17" s="14">
        <v>38137800.000000007</v>
      </c>
      <c r="E17" s="14">
        <v>169470</v>
      </c>
      <c r="F17" s="14">
        <v>2545190</v>
      </c>
      <c r="G17" s="14">
        <v>660260</v>
      </c>
      <c r="H17" s="14">
        <v>13832920</v>
      </c>
      <c r="I17" s="14">
        <v>18279410</v>
      </c>
      <c r="J17" s="14">
        <v>3375530.0000000005</v>
      </c>
      <c r="K17" s="14">
        <v>925740</v>
      </c>
      <c r="L17" s="14">
        <v>13032930</v>
      </c>
      <c r="M17" s="14">
        <v>2606810.0000000005</v>
      </c>
      <c r="N17" s="14">
        <v>444530</v>
      </c>
      <c r="O17" s="14">
        <v>13998200</v>
      </c>
      <c r="P17" s="14">
        <v>454200</v>
      </c>
      <c r="Q17" s="14">
        <v>3506080</v>
      </c>
      <c r="R17" s="14">
        <v>3302290</v>
      </c>
      <c r="S17" s="14">
        <v>1038020</v>
      </c>
      <c r="T17" s="14">
        <v>8576179.9999999981</v>
      </c>
      <c r="U17" s="28"/>
      <c r="V17" s="14">
        <v>21190260</v>
      </c>
      <c r="W17" s="14">
        <v>0</v>
      </c>
      <c r="X17" s="14">
        <v>20168720</v>
      </c>
      <c r="Y17" s="28"/>
      <c r="Z17" s="16" t="s">
        <v>55</v>
      </c>
      <c r="AA17" s="14">
        <v>63277570</v>
      </c>
    </row>
    <row r="18" spans="1:27" ht="15" customHeight="1" x14ac:dyDescent="0.3">
      <c r="A18" s="16" t="s">
        <v>56</v>
      </c>
      <c r="B18" s="14">
        <v>115399.99999999999</v>
      </c>
      <c r="C18" s="14">
        <v>145980</v>
      </c>
      <c r="D18" s="19">
        <v>236492680</v>
      </c>
      <c r="E18" s="14">
        <v>1446230</v>
      </c>
      <c r="F18" s="14">
        <v>530280.00000000012</v>
      </c>
      <c r="G18" s="14">
        <v>627840</v>
      </c>
      <c r="H18" s="14">
        <v>2010640</v>
      </c>
      <c r="I18" s="14">
        <v>6422880</v>
      </c>
      <c r="J18" s="14">
        <v>10757120</v>
      </c>
      <c r="K18" s="14">
        <v>855960</v>
      </c>
      <c r="L18" s="14">
        <v>8106759.9999999991</v>
      </c>
      <c r="M18" s="14">
        <v>1249569.9999999998</v>
      </c>
      <c r="N18" s="14">
        <v>280070.00000000006</v>
      </c>
      <c r="O18" s="14">
        <v>11488380.000000002</v>
      </c>
      <c r="P18" s="14">
        <v>801450</v>
      </c>
      <c r="Q18" s="14">
        <v>1019130.0000000001</v>
      </c>
      <c r="R18" s="19">
        <v>196714219.99999997</v>
      </c>
      <c r="S18" s="14">
        <v>1424390</v>
      </c>
      <c r="T18" s="14">
        <v>851259.99999999988</v>
      </c>
      <c r="U18" s="28"/>
      <c r="V18" s="14">
        <v>230023430.00000003</v>
      </c>
      <c r="W18" s="14">
        <v>0</v>
      </c>
      <c r="X18" s="19">
        <v>168287440</v>
      </c>
      <c r="Y18" s="28"/>
      <c r="Z18" s="16" t="s">
        <v>56</v>
      </c>
      <c r="AA18" s="14">
        <v>933172399.99999988</v>
      </c>
    </row>
    <row r="19" spans="1:27" ht="15" customHeight="1" x14ac:dyDescent="0.3">
      <c r="A19" s="16" t="s">
        <v>57</v>
      </c>
      <c r="B19" s="14">
        <v>106839.99999999999</v>
      </c>
      <c r="C19" s="14">
        <v>4716790</v>
      </c>
      <c r="D19" s="19">
        <v>129734640.00000001</v>
      </c>
      <c r="E19" s="14">
        <v>7910290</v>
      </c>
      <c r="F19" s="14">
        <v>3629760</v>
      </c>
      <c r="G19" s="14">
        <v>7921980</v>
      </c>
      <c r="H19" s="14">
        <v>16071420</v>
      </c>
      <c r="I19" s="14">
        <v>54671300</v>
      </c>
      <c r="J19" s="14">
        <v>18490440.000000004</v>
      </c>
      <c r="K19" s="14">
        <v>13487110</v>
      </c>
      <c r="L19" s="14">
        <v>86994760.000000015</v>
      </c>
      <c r="M19" s="14">
        <v>2508130</v>
      </c>
      <c r="N19" s="14">
        <v>3227520</v>
      </c>
      <c r="O19" s="14">
        <v>49818870.000000007</v>
      </c>
      <c r="P19" s="14">
        <v>1882740</v>
      </c>
      <c r="Q19" s="14">
        <v>724650</v>
      </c>
      <c r="R19" s="14">
        <v>6081350</v>
      </c>
      <c r="S19" s="14">
        <v>37892680</v>
      </c>
      <c r="T19" s="14">
        <v>1013129.9999999999</v>
      </c>
      <c r="U19" s="28"/>
      <c r="V19" s="14">
        <v>905682709.99999988</v>
      </c>
      <c r="W19" s="14">
        <v>0</v>
      </c>
      <c r="X19" s="14">
        <v>56764890</v>
      </c>
      <c r="Y19" s="28"/>
      <c r="Z19" s="16" t="s">
        <v>57</v>
      </c>
      <c r="AA19" s="14">
        <v>536649689.99999994</v>
      </c>
    </row>
    <row r="20" spans="1:27" ht="15.75" customHeight="1" x14ac:dyDescent="0.3">
      <c r="A20" s="16" t="s">
        <v>68</v>
      </c>
      <c r="B20" s="14">
        <v>2525430</v>
      </c>
      <c r="C20" s="14">
        <v>629140</v>
      </c>
      <c r="D20" s="19">
        <v>192534790.00000003</v>
      </c>
      <c r="E20" s="14">
        <v>3519970.0000000005</v>
      </c>
      <c r="F20" s="14">
        <v>17829280</v>
      </c>
      <c r="G20" s="14">
        <v>2188770</v>
      </c>
      <c r="H20" s="14">
        <v>58191400.000000007</v>
      </c>
      <c r="I20" s="14">
        <v>46664160</v>
      </c>
      <c r="J20" s="14">
        <v>17642830</v>
      </c>
      <c r="K20" s="14">
        <v>5705889.9999999991</v>
      </c>
      <c r="L20" s="14">
        <v>61872320.000000007</v>
      </c>
      <c r="M20" s="14">
        <v>6841180.0000000009</v>
      </c>
      <c r="N20" s="14">
        <v>7647140</v>
      </c>
      <c r="O20" s="14">
        <v>63169410</v>
      </c>
      <c r="P20" s="14">
        <v>2032179.9999999998</v>
      </c>
      <c r="Q20" s="14">
        <v>1260380</v>
      </c>
      <c r="R20" s="14">
        <v>65350580.000000007</v>
      </c>
      <c r="S20" s="14">
        <v>4368980.0000000009</v>
      </c>
      <c r="T20" s="14">
        <v>3369900.0000000005</v>
      </c>
      <c r="U20" s="28"/>
      <c r="V20" s="14">
        <v>102116610.00000001</v>
      </c>
      <c r="W20" s="14">
        <v>0</v>
      </c>
      <c r="X20" s="14">
        <v>44767150</v>
      </c>
      <c r="Y20" s="28"/>
      <c r="Z20" s="16" t="s">
        <v>68</v>
      </c>
      <c r="AA20" s="14">
        <v>380863410.00000006</v>
      </c>
    </row>
    <row r="21" spans="1:27" ht="15.75" customHeight="1" x14ac:dyDescent="0.3">
      <c r="A21" s="16" t="s">
        <v>146</v>
      </c>
      <c r="B21" s="14">
        <f t="shared" ref="B21:T21" si="0">SUM(B2:B20)</f>
        <v>1370002030</v>
      </c>
      <c r="C21" s="14">
        <f t="shared" si="0"/>
        <v>646526060</v>
      </c>
      <c r="D21" s="19">
        <f t="shared" si="0"/>
        <v>183485821710</v>
      </c>
      <c r="E21" s="14">
        <f t="shared" si="0"/>
        <v>34828287640</v>
      </c>
      <c r="F21" s="14">
        <f t="shared" si="0"/>
        <v>11837552100</v>
      </c>
      <c r="G21" s="14">
        <f t="shared" si="0"/>
        <v>1329331510</v>
      </c>
      <c r="H21" s="14">
        <f t="shared" si="0"/>
        <v>8321574999.999999</v>
      </c>
      <c r="I21" s="19">
        <f t="shared" si="0"/>
        <v>13889650660</v>
      </c>
      <c r="J21" s="14">
        <f t="shared" si="0"/>
        <v>11261110400</v>
      </c>
      <c r="K21" s="19">
        <f t="shared" si="0"/>
        <v>2225371680</v>
      </c>
      <c r="L21" s="14">
        <f t="shared" si="0"/>
        <v>7730966400</v>
      </c>
      <c r="M21" s="14">
        <f t="shared" si="0"/>
        <v>3829441320</v>
      </c>
      <c r="N21" s="14">
        <f t="shared" si="0"/>
        <v>1060025900</v>
      </c>
      <c r="O21" s="19">
        <f t="shared" si="0"/>
        <v>10930583820</v>
      </c>
      <c r="P21" s="14">
        <f t="shared" si="0"/>
        <v>1850392120</v>
      </c>
      <c r="Q21" s="14">
        <f t="shared" si="0"/>
        <v>295629920</v>
      </c>
      <c r="R21" s="14">
        <f t="shared" si="0"/>
        <v>6332313870</v>
      </c>
      <c r="S21" s="14">
        <f t="shared" si="0"/>
        <v>948892260</v>
      </c>
      <c r="T21" s="14">
        <f t="shared" si="0"/>
        <v>653620900</v>
      </c>
      <c r="U21" s="16"/>
      <c r="V21" s="14">
        <f t="shared" ref="V21:X21" si="1">SUM(V2:V20)</f>
        <v>85569213120</v>
      </c>
      <c r="W21" s="14">
        <f t="shared" si="1"/>
        <v>4532812960.000001</v>
      </c>
      <c r="X21" s="19">
        <f t="shared" si="1"/>
        <v>28261368830</v>
      </c>
      <c r="Y21" s="16"/>
      <c r="Z21" s="28"/>
      <c r="AA21" s="19">
        <f>+SUM(AA2:AA20)</f>
        <v>375855261639.99994</v>
      </c>
    </row>
    <row r="22" spans="1:27" ht="15.7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5.75" customHeight="1" x14ac:dyDescent="0.3">
      <c r="A23" s="23"/>
      <c r="B23" s="60" t="s">
        <v>41</v>
      </c>
      <c r="C23" s="60" t="s">
        <v>42</v>
      </c>
      <c r="D23" s="60" t="s">
        <v>43</v>
      </c>
      <c r="E23" s="60" t="s">
        <v>66</v>
      </c>
      <c r="F23" s="60" t="s">
        <v>44</v>
      </c>
      <c r="G23" s="60" t="s">
        <v>45</v>
      </c>
      <c r="H23" s="60" t="s">
        <v>46</v>
      </c>
      <c r="I23" s="60" t="s">
        <v>47</v>
      </c>
      <c r="J23" s="60" t="s">
        <v>48</v>
      </c>
      <c r="K23" s="60" t="s">
        <v>49</v>
      </c>
      <c r="L23" s="60" t="s">
        <v>50</v>
      </c>
      <c r="M23" s="60" t="s">
        <v>51</v>
      </c>
      <c r="N23" s="60" t="s">
        <v>52</v>
      </c>
      <c r="O23" s="60" t="s">
        <v>67</v>
      </c>
      <c r="P23" s="60" t="s">
        <v>54</v>
      </c>
      <c r="Q23" s="60" t="s">
        <v>55</v>
      </c>
      <c r="R23" s="60" t="s">
        <v>56</v>
      </c>
      <c r="S23" s="60" t="s">
        <v>57</v>
      </c>
      <c r="T23" s="60" t="s">
        <v>68</v>
      </c>
      <c r="U23" s="23"/>
      <c r="V23" s="28"/>
      <c r="W23" s="28"/>
      <c r="X23" s="28"/>
      <c r="Y23" s="28"/>
      <c r="Z23" s="28"/>
      <c r="AA23" s="28"/>
    </row>
    <row r="24" spans="1:27" ht="15.75" customHeight="1" x14ac:dyDescent="0.3">
      <c r="A24" s="61" t="s">
        <v>145</v>
      </c>
      <c r="B24" s="14">
        <v>5138716660</v>
      </c>
      <c r="C24" s="14">
        <v>907530790</v>
      </c>
      <c r="D24" s="19">
        <v>293081438209.99994</v>
      </c>
      <c r="E24" s="14">
        <v>11907771130</v>
      </c>
      <c r="F24" s="14">
        <v>696593580</v>
      </c>
      <c r="G24" s="14">
        <v>1051644679.9999999</v>
      </c>
      <c r="H24" s="14">
        <v>894252650</v>
      </c>
      <c r="I24" s="14">
        <v>16011107660</v>
      </c>
      <c r="J24" s="14">
        <v>14435800330</v>
      </c>
      <c r="K24" s="14">
        <v>44533390</v>
      </c>
      <c r="L24" s="14">
        <v>9472519060</v>
      </c>
      <c r="M24" s="14">
        <v>4414897380</v>
      </c>
      <c r="N24" s="14">
        <v>1506869280</v>
      </c>
      <c r="O24" s="14">
        <v>14137484849.999998</v>
      </c>
      <c r="P24" s="14">
        <v>99401920</v>
      </c>
      <c r="Q24" s="14">
        <v>63277570</v>
      </c>
      <c r="R24" s="14">
        <v>933172399.99999988</v>
      </c>
      <c r="S24" s="14">
        <v>536646649.99999988</v>
      </c>
      <c r="T24" s="14">
        <v>380863180.00000006</v>
      </c>
      <c r="U24" s="19">
        <v>375715000000</v>
      </c>
      <c r="V24" s="28"/>
      <c r="W24" s="28"/>
      <c r="X24" s="28"/>
      <c r="Y24" s="28"/>
      <c r="Z24" s="28"/>
      <c r="AA24" s="28"/>
    </row>
    <row r="25" spans="1:27" ht="15.75" customHeight="1" x14ac:dyDescent="0.25">
      <c r="U25" s="1"/>
      <c r="Y25" s="62"/>
    </row>
    <row r="26" spans="1:27" ht="15.75" customHeight="1" x14ac:dyDescent="0.3">
      <c r="A26" s="81" t="s">
        <v>147</v>
      </c>
      <c r="B26" s="82"/>
      <c r="C26" s="82"/>
      <c r="D26" s="82"/>
      <c r="E26" s="24"/>
      <c r="U26" s="1"/>
      <c r="Y26" s="62"/>
    </row>
    <row r="27" spans="1:27" ht="15.75" customHeight="1" x14ac:dyDescent="0.3">
      <c r="A27" s="63" t="s">
        <v>148</v>
      </c>
      <c r="B27" s="24"/>
      <c r="C27" s="63" t="s">
        <v>149</v>
      </c>
      <c r="D27" s="63" t="s">
        <v>150</v>
      </c>
      <c r="E27" s="63" t="s">
        <v>151</v>
      </c>
      <c r="U27" s="1"/>
      <c r="Y27" s="62"/>
    </row>
    <row r="28" spans="1:27" ht="15.75" customHeight="1" x14ac:dyDescent="0.3">
      <c r="A28" s="63">
        <v>1</v>
      </c>
      <c r="B28" s="63" t="s">
        <v>41</v>
      </c>
      <c r="C28" s="14">
        <v>0.17493782021788176</v>
      </c>
      <c r="D28" s="14">
        <v>0</v>
      </c>
      <c r="E28" s="14">
        <v>0.5973760528334856</v>
      </c>
      <c r="U28" s="1"/>
      <c r="Y28" s="62"/>
    </row>
    <row r="29" spans="1:27" ht="15.75" customHeight="1" x14ac:dyDescent="0.3">
      <c r="A29" s="63">
        <v>2</v>
      </c>
      <c r="B29" s="63" t="s">
        <v>42</v>
      </c>
      <c r="C29" s="14">
        <v>0.8268163368849577</v>
      </c>
      <c r="D29" s="14">
        <v>0</v>
      </c>
      <c r="E29" s="14">
        <v>1.6836143543368612E-2</v>
      </c>
      <c r="U29" s="1"/>
      <c r="Y29" s="62"/>
    </row>
    <row r="30" spans="1:27" ht="15.75" customHeight="1" x14ac:dyDescent="0.3">
      <c r="A30" s="63">
        <v>3</v>
      </c>
      <c r="B30" s="63" t="s">
        <v>43</v>
      </c>
      <c r="C30" s="14">
        <v>0.34609559358821579</v>
      </c>
      <c r="D30" s="14">
        <v>0.69887505882956746</v>
      </c>
      <c r="E30" s="14">
        <v>0.25604413661597658</v>
      </c>
      <c r="U30" s="1"/>
      <c r="Y30" s="62"/>
    </row>
    <row r="31" spans="1:27" ht="15.75" customHeight="1" x14ac:dyDescent="0.3">
      <c r="A31" s="63">
        <v>4</v>
      </c>
      <c r="B31" s="63" t="s">
        <v>66</v>
      </c>
      <c r="C31" s="14">
        <v>9.8986961388912817E-2</v>
      </c>
      <c r="D31" s="14">
        <v>0</v>
      </c>
      <c r="E31" s="14">
        <v>2.2922327082555648E-3</v>
      </c>
      <c r="U31" s="1"/>
      <c r="Y31" s="62"/>
    </row>
    <row r="32" spans="1:27" ht="15.75" customHeight="1" x14ac:dyDescent="0.3">
      <c r="A32" s="63">
        <v>5</v>
      </c>
      <c r="B32" s="63" t="s">
        <v>44</v>
      </c>
      <c r="C32" s="14">
        <v>2.7236370903062357E-2</v>
      </c>
      <c r="D32" s="14">
        <v>0</v>
      </c>
      <c r="E32" s="14">
        <v>1.5236150194421099E-3</v>
      </c>
      <c r="U32" s="1"/>
      <c r="Y32" s="62"/>
    </row>
    <row r="33" spans="1:25" ht="15.75" customHeight="1" x14ac:dyDescent="0.3">
      <c r="A33" s="63">
        <v>6</v>
      </c>
      <c r="B33" s="63" t="s">
        <v>45</v>
      </c>
      <c r="C33" s="19">
        <v>9.7568781003147556E-5</v>
      </c>
      <c r="D33" s="14">
        <v>0</v>
      </c>
      <c r="E33" s="14">
        <v>3.2445409598498799E-3</v>
      </c>
      <c r="U33" s="1"/>
      <c r="Y33" s="62"/>
    </row>
    <row r="34" spans="1:25" ht="15.75" customHeight="1" x14ac:dyDescent="0.3">
      <c r="A34" s="63">
        <v>7</v>
      </c>
      <c r="B34" s="63" t="s">
        <v>46</v>
      </c>
      <c r="C34" s="14">
        <v>9.9699116229258022E-4</v>
      </c>
      <c r="D34" s="14">
        <v>0</v>
      </c>
      <c r="E34" s="19">
        <v>7.5349014305612074E-5</v>
      </c>
      <c r="U34" s="1"/>
      <c r="Y34" s="62"/>
    </row>
    <row r="35" spans="1:25" ht="15.75" customHeight="1" x14ac:dyDescent="0.3">
      <c r="A35" s="63">
        <v>8</v>
      </c>
      <c r="B35" s="63" t="s">
        <v>47</v>
      </c>
      <c r="C35" s="14">
        <v>9.9559570285225815E-3</v>
      </c>
      <c r="D35" s="14">
        <v>2.3542522136532146E-2</v>
      </c>
      <c r="E35" s="14">
        <v>1.7390915431960096E-2</v>
      </c>
      <c r="U35" s="1"/>
      <c r="Y35" s="62"/>
    </row>
    <row r="36" spans="1:25" ht="15.75" customHeight="1" x14ac:dyDescent="0.3">
      <c r="A36" s="63">
        <v>9</v>
      </c>
      <c r="B36" s="63" t="s">
        <v>48</v>
      </c>
      <c r="C36" s="14">
        <v>0.12162568259493937</v>
      </c>
      <c r="D36" s="14">
        <v>0</v>
      </c>
      <c r="E36" s="14">
        <v>4.4991260595635532E-2</v>
      </c>
      <c r="U36" s="1"/>
      <c r="Y36" s="62"/>
    </row>
    <row r="37" spans="1:25" ht="15.75" customHeight="1" x14ac:dyDescent="0.3">
      <c r="A37" s="63">
        <v>10</v>
      </c>
      <c r="B37" s="63" t="s">
        <v>49</v>
      </c>
      <c r="C37" s="14">
        <v>3.5742836098520497E-4</v>
      </c>
      <c r="D37" s="14">
        <v>0</v>
      </c>
      <c r="E37" s="14">
        <v>3.7332546901436012E-3</v>
      </c>
      <c r="U37" s="1"/>
      <c r="Y37" s="62"/>
    </row>
    <row r="38" spans="1:25" ht="15.75" customHeight="1" x14ac:dyDescent="0.3">
      <c r="A38" s="63">
        <v>11</v>
      </c>
      <c r="B38" s="63" t="s">
        <v>50</v>
      </c>
      <c r="C38" s="14">
        <v>5.0514479870444287E-2</v>
      </c>
      <c r="D38" s="14">
        <v>0</v>
      </c>
      <c r="E38" s="14">
        <v>0.10233663304575981</v>
      </c>
      <c r="U38" s="1"/>
      <c r="Y38" s="62"/>
    </row>
    <row r="39" spans="1:25" ht="15.75" customHeight="1" x14ac:dyDescent="0.3">
      <c r="A39" s="63">
        <v>12</v>
      </c>
      <c r="B39" s="63" t="s">
        <v>51</v>
      </c>
      <c r="C39" s="14">
        <v>1.8043938773554156E-3</v>
      </c>
      <c r="D39" s="14">
        <v>0</v>
      </c>
      <c r="E39" s="14">
        <v>2.6733465149876547E-2</v>
      </c>
      <c r="U39" s="1"/>
      <c r="Y39" s="62"/>
    </row>
    <row r="40" spans="1:25" ht="15.75" customHeight="1" x14ac:dyDescent="0.3">
      <c r="A40" s="63">
        <v>13</v>
      </c>
      <c r="B40" s="63" t="s">
        <v>52</v>
      </c>
      <c r="C40" s="14">
        <v>0</v>
      </c>
      <c r="D40" s="14">
        <v>0</v>
      </c>
      <c r="E40" s="19">
        <v>3.7402743942370393E-5</v>
      </c>
      <c r="U40" s="1"/>
      <c r="Y40" s="62"/>
    </row>
    <row r="41" spans="1:25" ht="15.75" customHeight="1" x14ac:dyDescent="0.3">
      <c r="A41" s="63">
        <v>14</v>
      </c>
      <c r="B41" s="63" t="s">
        <v>67</v>
      </c>
      <c r="C41" s="14">
        <v>6.334129543051961E-3</v>
      </c>
      <c r="D41" s="14">
        <v>2.5752563085120989E-2</v>
      </c>
      <c r="E41" s="14">
        <v>2.1413980918873615E-2</v>
      </c>
      <c r="U41" s="1"/>
      <c r="Y41" s="62"/>
    </row>
    <row r="42" spans="1:25" ht="15.75" customHeight="1" x14ac:dyDescent="0.3">
      <c r="A42" s="63">
        <v>15</v>
      </c>
      <c r="B42" s="63" t="s">
        <v>54</v>
      </c>
      <c r="C42" s="14">
        <v>1.8369701945414603E-3</v>
      </c>
      <c r="D42" s="14">
        <v>0</v>
      </c>
      <c r="E42" s="14">
        <v>3.3165896267406271E-2</v>
      </c>
      <c r="U42" s="1"/>
      <c r="Y42" s="62"/>
    </row>
    <row r="43" spans="1:25" ht="15.75" customHeight="1" x14ac:dyDescent="0.3">
      <c r="A43" s="63">
        <v>16</v>
      </c>
      <c r="B43" s="63" t="s">
        <v>55</v>
      </c>
      <c r="C43" s="14">
        <v>1.7685660570158752E-3</v>
      </c>
      <c r="D43" s="14">
        <v>0</v>
      </c>
      <c r="E43" s="14">
        <v>0.17442660640711227</v>
      </c>
      <c r="U43" s="1"/>
      <c r="Y43" s="62"/>
    </row>
    <row r="44" spans="1:25" ht="15.75" customHeight="1" x14ac:dyDescent="0.3">
      <c r="A44" s="63">
        <v>17</v>
      </c>
      <c r="B44" s="63" t="s">
        <v>56</v>
      </c>
      <c r="C44" s="14">
        <v>1.0417844772813371E-2</v>
      </c>
      <c r="D44" s="14">
        <v>0</v>
      </c>
      <c r="E44" s="14">
        <v>0.1581922586417443</v>
      </c>
      <c r="U44" s="1"/>
      <c r="Y44" s="62"/>
    </row>
    <row r="45" spans="1:25" ht="15.75" customHeight="1" x14ac:dyDescent="0.3">
      <c r="A45" s="63">
        <v>18</v>
      </c>
      <c r="B45" s="63" t="s">
        <v>57</v>
      </c>
      <c r="C45" s="14">
        <v>4.8716671128260114E-2</v>
      </c>
      <c r="D45" s="14">
        <v>0</v>
      </c>
      <c r="E45" s="14">
        <v>0.10713962559700753</v>
      </c>
      <c r="U45" s="1"/>
      <c r="Y45" s="62"/>
    </row>
    <row r="46" spans="1:25" ht="15.75" customHeight="1" x14ac:dyDescent="0.3">
      <c r="A46" s="63">
        <v>19</v>
      </c>
      <c r="B46" s="63" t="s">
        <v>68</v>
      </c>
      <c r="C46" s="14">
        <v>2.1843095380356926E-3</v>
      </c>
      <c r="D46" s="14">
        <v>0</v>
      </c>
      <c r="E46" s="14">
        <v>9.9202484895698356E-2</v>
      </c>
      <c r="U46" s="1"/>
      <c r="Y46" s="62"/>
    </row>
    <row r="47" spans="1:25" ht="15.75" customHeight="1" x14ac:dyDescent="0.25">
      <c r="U47" s="1"/>
      <c r="Y47" s="62"/>
    </row>
    <row r="48" spans="1:25" ht="15.75" customHeight="1" x14ac:dyDescent="0.3">
      <c r="A48" s="83" t="s">
        <v>152</v>
      </c>
      <c r="B48" s="82"/>
      <c r="C48" s="82"/>
      <c r="D48" s="82"/>
      <c r="E48" s="82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Y48" s="62"/>
    </row>
    <row r="49" spans="1:25" ht="15.75" customHeight="1" x14ac:dyDescent="0.3">
      <c r="A49" s="63" t="s">
        <v>148</v>
      </c>
      <c r="B49" s="63"/>
      <c r="C49" s="63">
        <v>1</v>
      </c>
      <c r="D49" s="63">
        <v>2</v>
      </c>
      <c r="E49" s="63">
        <v>3</v>
      </c>
      <c r="F49" s="63">
        <v>4</v>
      </c>
      <c r="G49" s="63">
        <v>5</v>
      </c>
      <c r="H49" s="63">
        <v>6</v>
      </c>
      <c r="I49" s="63">
        <v>7</v>
      </c>
      <c r="J49" s="63">
        <v>8</v>
      </c>
      <c r="K49" s="63">
        <v>9</v>
      </c>
      <c r="L49" s="63">
        <v>10</v>
      </c>
      <c r="M49" s="63">
        <v>11</v>
      </c>
      <c r="N49" s="63">
        <v>12</v>
      </c>
      <c r="O49" s="63">
        <v>13</v>
      </c>
      <c r="P49" s="63">
        <v>14</v>
      </c>
      <c r="Q49" s="63">
        <v>15</v>
      </c>
      <c r="R49" s="63">
        <v>16</v>
      </c>
      <c r="S49" s="63">
        <v>17</v>
      </c>
      <c r="T49" s="63">
        <v>18</v>
      </c>
      <c r="U49" s="63">
        <v>19</v>
      </c>
      <c r="Y49" s="62"/>
    </row>
    <row r="50" spans="1:25" ht="15.75" customHeight="1" x14ac:dyDescent="0.3">
      <c r="A50" s="63">
        <v>1</v>
      </c>
      <c r="B50" s="63" t="s">
        <v>41</v>
      </c>
      <c r="C50" s="14">
        <f>B2/inputoutput!C12</f>
        <v>9.0664504770636728E-2</v>
      </c>
      <c r="D50" s="14">
        <f>C2/inputoutput!D12</f>
        <v>0.14099565473955261</v>
      </c>
      <c r="E50" s="19">
        <f>D2/inputoutput!E12</f>
        <v>0.34801197455061023</v>
      </c>
      <c r="F50" s="14">
        <f>E2/inputoutput!F12</f>
        <v>0.16953590963944781</v>
      </c>
      <c r="G50" s="14">
        <f>F2/inputoutput!G12</f>
        <v>0.27223699304773175</v>
      </c>
      <c r="H50" s="14">
        <f>G2/inputoutput!H12</f>
        <v>6.5979004319717816E-3</v>
      </c>
      <c r="I50" s="14">
        <f>H2/inputoutput!I12</f>
        <v>0.13353425151982642</v>
      </c>
      <c r="J50" s="19">
        <f>I2/inputoutput!J12</f>
        <v>4.6365247735655972E-2</v>
      </c>
      <c r="K50" s="14">
        <f>J2/inputoutput!K12</f>
        <v>6.4633305036926991E-2</v>
      </c>
      <c r="L50" s="19">
        <f>K2/inputoutput!L12</f>
        <v>0.30592464980847517</v>
      </c>
      <c r="M50" s="14">
        <f>L2/inputoutput!M12</f>
        <v>0.24908663529386257</v>
      </c>
      <c r="N50" s="14">
        <f>M2/inputoutput!N12</f>
        <v>0.12939540384469461</v>
      </c>
      <c r="O50" s="14">
        <f>N2/inputoutput!O12</f>
        <v>0.14765178678494939</v>
      </c>
      <c r="P50" s="19">
        <f>O2/inputoutput!P12</f>
        <v>1.0018504566853066</v>
      </c>
      <c r="Q50" s="14">
        <f>P2/inputoutput!Q12</f>
        <v>3.2512931235580675E-2</v>
      </c>
      <c r="R50" s="14">
        <f>Q2/inputoutput!R12</f>
        <v>1.1351280375445002E-2</v>
      </c>
      <c r="S50" s="14">
        <f>R2/inputoutput!S12</f>
        <v>7.8419581600548363E-2</v>
      </c>
      <c r="T50" s="14">
        <f>S2/inputoutput!T12</f>
        <v>6.5262001364381511E-2</v>
      </c>
      <c r="U50" s="14">
        <f>T2/inputoutput!U12</f>
        <v>8.1534470135833453E-2</v>
      </c>
      <c r="Y50" s="62"/>
    </row>
    <row r="51" spans="1:25" ht="15.75" customHeight="1" x14ac:dyDescent="0.3">
      <c r="A51" s="63">
        <v>2</v>
      </c>
      <c r="B51" s="63" t="s">
        <v>42</v>
      </c>
      <c r="C51" s="14">
        <f>B3/inputoutput!C13</f>
        <v>0.89208786366750681</v>
      </c>
      <c r="D51" s="19">
        <f>C3/inputoutput!D13</f>
        <v>6.3584875503150267</v>
      </c>
      <c r="E51" s="19">
        <f>D3/inputoutput!E13</f>
        <v>2.5450367636478286</v>
      </c>
      <c r="F51" s="19">
        <f>E3/inputoutput!F13</f>
        <v>38.773720304293754</v>
      </c>
      <c r="G51" s="19">
        <f>F3/inputoutput!G13</f>
        <v>6.8566958629824954</v>
      </c>
      <c r="H51" s="19">
        <f>G3/inputoutput!H13</f>
        <v>1.2698149494729833</v>
      </c>
      <c r="I51" s="14">
        <f>H3/inputoutput!I13</f>
        <v>8.6568059225051966E-2</v>
      </c>
      <c r="J51" s="19">
        <f>I3/inputoutput!J13</f>
        <v>4.584041257293709</v>
      </c>
      <c r="K51" s="19">
        <f>J3/inputoutput!K13</f>
        <v>6.404729003979118</v>
      </c>
      <c r="L51" s="19">
        <f>K3/inputoutput!L13</f>
        <v>4.788027753841372</v>
      </c>
      <c r="M51" s="14">
        <f>L3/inputoutput!M13</f>
        <v>0.33458328260920644</v>
      </c>
      <c r="N51" s="14">
        <f>M3/inputoutput!N13</f>
        <v>1.7959568693682686</v>
      </c>
      <c r="O51" s="14">
        <f>N3/inputoutput!O13</f>
        <v>0.67140503558628095</v>
      </c>
      <c r="P51" s="19">
        <f>O3/inputoutput!P13</f>
        <v>0.66789057043275513</v>
      </c>
      <c r="Q51" s="19">
        <f>P3/inputoutput!Q13</f>
        <v>11.765908970591811</v>
      </c>
      <c r="R51" s="14">
        <f>Q3/inputoutput!R13</f>
        <v>0.31762981694876291</v>
      </c>
      <c r="S51" s="14">
        <f>R3/inputoutput!S13</f>
        <v>1.7427765708280514</v>
      </c>
      <c r="T51" s="14">
        <f>S3/inputoutput!T13</f>
        <v>2.1200145120615237</v>
      </c>
      <c r="U51" s="14">
        <f>T3/inputoutput!U13</f>
        <v>1.9864960168697279</v>
      </c>
      <c r="Y51" s="62"/>
    </row>
    <row r="52" spans="1:25" ht="15.75" customHeight="1" x14ac:dyDescent="0.3">
      <c r="A52" s="63">
        <v>3</v>
      </c>
      <c r="B52" s="63" t="s">
        <v>43</v>
      </c>
      <c r="C52" s="14">
        <f>B4/inputoutput!C14</f>
        <v>7.6022416844377175E-2</v>
      </c>
      <c r="D52" s="19">
        <f>C4/inputoutput!D14</f>
        <v>0.31008901865810784</v>
      </c>
      <c r="E52" s="19">
        <f>D4/inputoutput!E14</f>
        <v>0.74955577848527366</v>
      </c>
      <c r="F52" s="19">
        <f>E4/inputoutput!F14</f>
        <v>0.28983389348133032</v>
      </c>
      <c r="G52" s="19">
        <f>F4/inputoutput!G14</f>
        <v>0.6313263819345114</v>
      </c>
      <c r="H52" s="19">
        <f>G4/inputoutput!H14</f>
        <v>5.6656022602440993E-2</v>
      </c>
      <c r="I52" s="19">
        <f>H4/inputoutput!I14</f>
        <v>0.11648699642189367</v>
      </c>
      <c r="J52" s="19">
        <f>I4/inputoutput!J14</f>
        <v>0.17046291690342508</v>
      </c>
      <c r="K52" s="19">
        <f>J4/inputoutput!K14</f>
        <v>0.18884885154898357</v>
      </c>
      <c r="L52" s="19">
        <f>K4/inputoutput!L14</f>
        <v>2.7367780459805958E-2</v>
      </c>
      <c r="M52" s="19">
        <f>L4/inputoutput!M14</f>
        <v>0.32535926709642132</v>
      </c>
      <c r="N52" s="14">
        <f>M4/inputoutput!N14</f>
        <v>2.1892852909866221E-2</v>
      </c>
      <c r="O52" s="19">
        <f>N4/inputoutput!O14</f>
        <v>3.8290878430949055E-2</v>
      </c>
      <c r="P52" s="19">
        <f>O4/inputoutput!P14</f>
        <v>0.14855377440580453</v>
      </c>
      <c r="Q52" s="19">
        <f>P4/inputoutput!Q14</f>
        <v>0.22711467090774326</v>
      </c>
      <c r="R52" s="14">
        <f>Q4/inputoutput!R14</f>
        <v>1.8912039243802591E-2</v>
      </c>
      <c r="S52" s="19">
        <f>R4/inputoutput!S14</f>
        <v>0.62782466574750873</v>
      </c>
      <c r="T52" s="19">
        <f>S4/inputoutput!T14</f>
        <v>9.6607301557853728E-2</v>
      </c>
      <c r="U52" s="14">
        <f>T4/inputoutput!U14</f>
        <v>0.10128459745497521</v>
      </c>
      <c r="Y52" s="62"/>
    </row>
    <row r="53" spans="1:25" ht="15.75" customHeight="1" x14ac:dyDescent="0.3">
      <c r="A53" s="63">
        <v>4</v>
      </c>
      <c r="B53" s="63" t="s">
        <v>66</v>
      </c>
      <c r="C53" s="14">
        <f>B5/inputoutput!C15</f>
        <v>5.0260367496678124E-3</v>
      </c>
      <c r="D53" s="14">
        <f>C5/inputoutput!D15</f>
        <v>1.7824583762074749E-2</v>
      </c>
      <c r="E53" s="19">
        <f>D5/inputoutput!E15</f>
        <v>0.29503743183030046</v>
      </c>
      <c r="F53" s="19">
        <f>E5/inputoutput!F15</f>
        <v>0.49478671550253128</v>
      </c>
      <c r="G53" s="19">
        <f>F5/inputoutput!G15</f>
        <v>0.2567861548073217</v>
      </c>
      <c r="H53" s="14">
        <f>G5/inputoutput!H15</f>
        <v>1.0126012709001573E-3</v>
      </c>
      <c r="I53" s="19">
        <f>H5/inputoutput!I15</f>
        <v>7.4961772275923974E-2</v>
      </c>
      <c r="J53" s="14">
        <f>I5/inputoutput!J15</f>
        <v>1.8592666681812392E-2</v>
      </c>
      <c r="K53" s="19">
        <f>J5/inputoutput!K15</f>
        <v>0.5848524822540434</v>
      </c>
      <c r="L53" s="14">
        <f>K5/inputoutput!L15</f>
        <v>2.4859697184785108E-3</v>
      </c>
      <c r="M53" s="14">
        <f>L5/inputoutput!M15</f>
        <v>0.12464853546515435</v>
      </c>
      <c r="N53" s="14">
        <f>M5/inputoutput!N15</f>
        <v>2.1829802200457873E-3</v>
      </c>
      <c r="O53" s="14">
        <f>N5/inputoutput!O15</f>
        <v>4.6193438382081536E-3</v>
      </c>
      <c r="P53" s="14">
        <f>O5/inputoutput!P15</f>
        <v>1.6853551680007486E-2</v>
      </c>
      <c r="Q53" s="14">
        <f>P5/inputoutput!Q15</f>
        <v>1.8946388318619761E-3</v>
      </c>
      <c r="R53" s="14">
        <f>Q5/inputoutput!R15</f>
        <v>3.9106237239017322E-3</v>
      </c>
      <c r="S53" s="14">
        <f>R5/inputoutput!S15</f>
        <v>4.3442316993180111E-3</v>
      </c>
      <c r="T53" s="14">
        <f>S5/inputoutput!T15</f>
        <v>1.2286725424488724E-2</v>
      </c>
      <c r="U53" s="14">
        <f>T5/inputoutput!U15</f>
        <v>3.3929564178602155E-3</v>
      </c>
      <c r="Y53" s="62"/>
    </row>
    <row r="54" spans="1:25" ht="15.75" customHeight="1" x14ac:dyDescent="0.3">
      <c r="A54" s="63">
        <v>5</v>
      </c>
      <c r="B54" s="63" t="s">
        <v>44</v>
      </c>
      <c r="C54" s="14">
        <f>B6/inputoutput!C16</f>
        <v>6.670741391405355E-4</v>
      </c>
      <c r="D54" s="14">
        <f>C6/inputoutput!D16</f>
        <v>2.033025652945809E-2</v>
      </c>
      <c r="E54" s="19">
        <f>D6/inputoutput!E16</f>
        <v>1.2861982236318303E-2</v>
      </c>
      <c r="F54" s="19">
        <f>E6/inputoutput!F16</f>
        <v>1.4660096826011577</v>
      </c>
      <c r="G54" s="19">
        <f>F6/inputoutput!G16</f>
        <v>0.11128495666557357</v>
      </c>
      <c r="H54" s="14">
        <f>G6/inputoutput!H16</f>
        <v>9.760714736113266E-3</v>
      </c>
      <c r="I54" s="14">
        <f>H6/inputoutput!I16</f>
        <v>7.5562845591075779E-3</v>
      </c>
      <c r="J54" s="19">
        <f>I6/inputoutput!J16</f>
        <v>3.4334308536048783E-2</v>
      </c>
      <c r="K54" s="14">
        <f>J6/inputoutput!K16</f>
        <v>1.7456597106246651E-2</v>
      </c>
      <c r="L54" s="14">
        <f>K6/inputoutput!L16</f>
        <v>7.3450782052421407E-3</v>
      </c>
      <c r="M54" s="14">
        <f>L6/inputoutput!M16</f>
        <v>2.0599043436921188E-2</v>
      </c>
      <c r="N54" s="14">
        <f>M6/inputoutput!N16</f>
        <v>3.4476898315063308E-2</v>
      </c>
      <c r="O54" s="14">
        <f>N6/inputoutput!O16</f>
        <v>1.1268934937178218E-2</v>
      </c>
      <c r="P54" s="14">
        <f>O6/inputoutput!P16</f>
        <v>1.3280971056080306E-2</v>
      </c>
      <c r="Q54" s="19">
        <f>P6/inputoutput!Q16</f>
        <v>0.10197814318732835</v>
      </c>
      <c r="R54" s="14">
        <f>Q6/inputoutput!R16</f>
        <v>7.6952893291937045E-4</v>
      </c>
      <c r="S54" s="14">
        <f>R6/inputoutput!S16</f>
        <v>4.8782776473277594E-3</v>
      </c>
      <c r="T54" s="14">
        <f>S6/inputoutput!T16</f>
        <v>1.0183136092874173E-2</v>
      </c>
      <c r="U54" s="14">
        <f>T6/inputoutput!U16</f>
        <v>1.5253939007732601E-3</v>
      </c>
      <c r="Y54" s="62"/>
    </row>
    <row r="55" spans="1:25" ht="15.75" customHeight="1" x14ac:dyDescent="0.3">
      <c r="A55" s="63">
        <v>6</v>
      </c>
      <c r="B55" s="63" t="s">
        <v>45</v>
      </c>
      <c r="C55" s="14">
        <f>B7/inputoutput!C17</f>
        <v>1.4222267280192646E-3</v>
      </c>
      <c r="D55" s="14">
        <f>C7/inputoutput!D17</f>
        <v>6.2246302516324689E-4</v>
      </c>
      <c r="E55" s="19">
        <f>D7/inputoutput!E17</f>
        <v>0.23500122178463159</v>
      </c>
      <c r="F55" s="14">
        <f>E7/inputoutput!F17</f>
        <v>6.4148005008204077E-3</v>
      </c>
      <c r="G55" s="14">
        <f>F7/inputoutput!G17</f>
        <v>1.8489102616741318E-2</v>
      </c>
      <c r="H55" s="19">
        <f>G7/inputoutput!H17</f>
        <v>3.2376491679039388E-2</v>
      </c>
      <c r="I55" s="14">
        <f>H7/inputoutput!I17</f>
        <v>1.1498005398718023E-2</v>
      </c>
      <c r="J55" s="14">
        <f>I7/inputoutput!J17</f>
        <v>1.6006171749410738E-2</v>
      </c>
      <c r="K55" s="19">
        <f>J7/inputoutput!K17</f>
        <v>0.17075823399176629</v>
      </c>
      <c r="L55" s="14">
        <f>K7/inputoutput!L17</f>
        <v>1.6926632815203551E-2</v>
      </c>
      <c r="M55" s="14">
        <f>L7/inputoutput!M17</f>
        <v>1.035459848917762E-2</v>
      </c>
      <c r="N55" s="14">
        <f>M7/inputoutput!N17</f>
        <v>1.5485742319272394E-3</v>
      </c>
      <c r="O55" s="14">
        <f>N7/inputoutput!O17</f>
        <v>3.328223044501594E-4</v>
      </c>
      <c r="P55" s="14">
        <f>O7/inputoutput!P17</f>
        <v>4.7700107590696504E-2</v>
      </c>
      <c r="Q55" s="14">
        <f>P7/inputoutput!Q17</f>
        <v>6.804343079224999E-2</v>
      </c>
      <c r="R55" s="14">
        <f>Q7/inputoutput!R17</f>
        <v>1.9512907172503576E-4</v>
      </c>
      <c r="S55" s="14">
        <f>R7/inputoutput!S17</f>
        <v>1.4789366298850028E-3</v>
      </c>
      <c r="T55" s="14">
        <f>S7/inputoutput!T17</f>
        <v>1.9317507865582967E-3</v>
      </c>
      <c r="U55" s="14">
        <f>T7/inputoutput!U17</f>
        <v>1.403524600983618E-2</v>
      </c>
      <c r="Y55" s="62"/>
    </row>
    <row r="56" spans="1:25" ht="15.75" customHeight="1" x14ac:dyDescent="0.3">
      <c r="A56" s="63">
        <v>7</v>
      </c>
      <c r="B56" s="63" t="s">
        <v>46</v>
      </c>
      <c r="C56" s="14">
        <f>B8/inputoutput!C18</f>
        <v>2.2620173280099216E-3</v>
      </c>
      <c r="D56" s="14">
        <f>C8/inputoutput!D18</f>
        <v>4.5427270831837001E-2</v>
      </c>
      <c r="E56" s="19">
        <f>D8/inputoutput!E18</f>
        <v>2.3009509583896907E-2</v>
      </c>
      <c r="F56" s="14">
        <f>E8/inputoutput!F18</f>
        <v>1.171944010745837E-2</v>
      </c>
      <c r="G56" s="14">
        <f>F8/inputoutput!G18</f>
        <v>9.7583038616616893E-3</v>
      </c>
      <c r="H56" s="14">
        <f>G8/inputoutput!H18</f>
        <v>1.7009571646584766E-2</v>
      </c>
      <c r="I56" s="19">
        <f>H8/inputoutput!I18</f>
        <v>2.6824164224312184E-3</v>
      </c>
      <c r="J56" s="14">
        <f>I8/inputoutput!J18</f>
        <v>1.6052165384362705E-2</v>
      </c>
      <c r="K56" s="14">
        <f>J8/inputoutput!K18</f>
        <v>9.9206793181705402E-3</v>
      </c>
      <c r="L56" s="14">
        <f>K8/inputoutput!L18</f>
        <v>1.2089691159701845E-2</v>
      </c>
      <c r="M56" s="14">
        <f>L8/inputoutput!M18</f>
        <v>1.5974030501805566E-2</v>
      </c>
      <c r="N56" s="14">
        <f>M8/inputoutput!N18</f>
        <v>1.2003905302089207E-2</v>
      </c>
      <c r="O56" s="14">
        <f>N8/inputoutput!O18</f>
        <v>4.6290948685965977E-3</v>
      </c>
      <c r="P56" s="14">
        <f>O8/inputoutput!P18</f>
        <v>2.0324759982220445E-2</v>
      </c>
      <c r="Q56" s="19">
        <f>P8/inputoutput!Q18</f>
        <v>8.0687541273999672E-2</v>
      </c>
      <c r="R56" s="14">
        <f>Q8/inputoutput!R18</f>
        <v>1.1830865283585863E-2</v>
      </c>
      <c r="S56" s="14">
        <f>R8/inputoutput!S18</f>
        <v>9.0832133214248309E-3</v>
      </c>
      <c r="T56" s="14">
        <f>S8/inputoutput!T18</f>
        <v>1.4455426993766861E-2</v>
      </c>
      <c r="U56" s="14">
        <f>T8/inputoutput!U18</f>
        <v>8.7630309991566565E-3</v>
      </c>
      <c r="Y56" s="62"/>
    </row>
    <row r="57" spans="1:25" ht="15.75" customHeight="1" x14ac:dyDescent="0.3">
      <c r="A57" s="63">
        <v>8</v>
      </c>
      <c r="B57" s="63" t="s">
        <v>47</v>
      </c>
      <c r="C57" s="14">
        <f>B9/inputoutput!C19</f>
        <v>1.7703709273528368E-2</v>
      </c>
      <c r="D57" s="14">
        <f>C9/inputoutput!D19</f>
        <v>6.0258632767615845E-2</v>
      </c>
      <c r="E57" s="19">
        <f>D9/inputoutput!E19</f>
        <v>6.6582711329637098E-2</v>
      </c>
      <c r="F57" s="19">
        <f>E9/inputoutput!F19</f>
        <v>5.9826937758479755E-2</v>
      </c>
      <c r="G57" s="19">
        <f>F9/inputoutput!G19</f>
        <v>3.4942226809673821E-2</v>
      </c>
      <c r="H57" s="14">
        <f>G9/inputoutput!H19</f>
        <v>2.3000517448638597E-2</v>
      </c>
      <c r="I57" s="19">
        <f>H9/inputoutput!I19</f>
        <v>3.8880177814510655E-2</v>
      </c>
      <c r="J57" s="19">
        <f>I9/inputoutput!J19</f>
        <v>8.1146329249900867E-2</v>
      </c>
      <c r="K57" s="19">
        <f>J9/inputoutput!K19</f>
        <v>9.2585920956528261E-2</v>
      </c>
      <c r="L57" s="19">
        <f>K9/inputoutput!L19</f>
        <v>3.2909385369756655E-2</v>
      </c>
      <c r="M57" s="19">
        <f>L9/inputoutput!M19</f>
        <v>0.11072507942530525</v>
      </c>
      <c r="N57" s="19">
        <f>M9/inputoutput!N19</f>
        <v>7.7669168991632995E-2</v>
      </c>
      <c r="O57" s="14">
        <f>N9/inputoutput!O19</f>
        <v>3.4218537466930786E-2</v>
      </c>
      <c r="P57" s="19">
        <f>O9/inputoutput!P19</f>
        <v>8.9132620176919738E-2</v>
      </c>
      <c r="Q57" s="14">
        <f>P9/inputoutput!Q19</f>
        <v>3.4540541838756621E-2</v>
      </c>
      <c r="R57" s="14">
        <f>Q9/inputoutput!R19</f>
        <v>2.6489117763857397E-2</v>
      </c>
      <c r="S57" s="19">
        <f>R9/inputoutput!S19</f>
        <v>4.9771477062040576E-2</v>
      </c>
      <c r="T57" s="14">
        <f>S9/inputoutput!T19</f>
        <v>4.3096331796596783E-2</v>
      </c>
      <c r="U57" s="14">
        <f>T9/inputoutput!U19</f>
        <v>1.8846417613063705E-2</v>
      </c>
      <c r="Y57" s="62"/>
    </row>
    <row r="58" spans="1:25" ht="15.75" customHeight="1" x14ac:dyDescent="0.3">
      <c r="A58" s="63">
        <v>9</v>
      </c>
      <c r="B58" s="63" t="s">
        <v>48</v>
      </c>
      <c r="C58" s="14">
        <f>B10/inputoutput!C20</f>
        <v>4.4747600251431027E-2</v>
      </c>
      <c r="D58" s="14">
        <f>C10/inputoutput!D20</f>
        <v>4.4501017615557061E-2</v>
      </c>
      <c r="E58" s="19">
        <f>D10/inputoutput!E20</f>
        <v>5.6378673104344315E-2</v>
      </c>
      <c r="F58" s="19">
        <f>E10/inputoutput!F20</f>
        <v>5.1206390444978489E-2</v>
      </c>
      <c r="G58" s="19">
        <f>F10/inputoutput!G20</f>
        <v>8.7430153112921349E-2</v>
      </c>
      <c r="H58" s="14">
        <f>G10/inputoutput!H20</f>
        <v>6.8056044602140653E-2</v>
      </c>
      <c r="I58" s="19">
        <f>H10/inputoutput!I20</f>
        <v>5.8895976501573993E-2</v>
      </c>
      <c r="J58" s="19">
        <f>I10/inputoutput!J20</f>
        <v>5.0708454014677995E-2</v>
      </c>
      <c r="K58" s="19">
        <f>J10/inputoutput!K20</f>
        <v>7.1027025131702004E-2</v>
      </c>
      <c r="L58" s="19">
        <f>K10/inputoutput!L20</f>
        <v>7.5883369282721658E-2</v>
      </c>
      <c r="M58" s="19">
        <f>L10/inputoutput!M20</f>
        <v>9.1605074376868281E-2</v>
      </c>
      <c r="N58" s="19">
        <f>M10/inputoutput!N20</f>
        <v>5.9962452207494833E-2</v>
      </c>
      <c r="O58" s="14">
        <f>N10/inputoutput!O20</f>
        <v>6.7978801213990414E-2</v>
      </c>
      <c r="P58" s="19">
        <f>O10/inputoutput!P20</f>
        <v>8.1054499198412289E-2</v>
      </c>
      <c r="Q58" s="19">
        <f>P10/inputoutput!Q20</f>
        <v>0.21372078218722809</v>
      </c>
      <c r="R58" s="14">
        <f>Q10/inputoutput!R20</f>
        <v>3.1104914595852368E-2</v>
      </c>
      <c r="S58" s="14">
        <f>R10/inputoutput!S20</f>
        <v>6.2297063957107816E-2</v>
      </c>
      <c r="T58" s="14">
        <f>S10/inputoutput!T20</f>
        <v>3.8236413324722121E-2</v>
      </c>
      <c r="U58" s="14">
        <f>T10/inputoutput!U20</f>
        <v>5.6362539548942353E-2</v>
      </c>
      <c r="Y58" s="62"/>
    </row>
    <row r="59" spans="1:25" ht="15.75" customHeight="1" x14ac:dyDescent="0.3">
      <c r="A59" s="63">
        <v>10</v>
      </c>
      <c r="B59" s="63" t="s">
        <v>49</v>
      </c>
      <c r="C59" s="14">
        <f>B11/inputoutput!C21</f>
        <v>8.2541834315497942E-2</v>
      </c>
      <c r="D59" s="14">
        <f>C11/inputoutput!D21</f>
        <v>0.14091342406702581</v>
      </c>
      <c r="E59" s="19">
        <f>D11/inputoutput!E21</f>
        <v>0.1676958005758685</v>
      </c>
      <c r="F59" s="14">
        <f>E11/inputoutput!F21</f>
        <v>0.14932849808329976</v>
      </c>
      <c r="G59" s="14">
        <f>F11/inputoutput!G21</f>
        <v>6.2059037362043448E-2</v>
      </c>
      <c r="H59" s="14">
        <f>G11/inputoutput!H21</f>
        <v>0.20888172659447554</v>
      </c>
      <c r="I59" s="19">
        <f>H11/inputoutput!I21</f>
        <v>8.3430438952991612E-2</v>
      </c>
      <c r="J59" s="19">
        <f>I11/inputoutput!J21</f>
        <v>0.20815547895935579</v>
      </c>
      <c r="K59" s="19">
        <f>J11/inputoutput!K21</f>
        <v>0.14821767363748825</v>
      </c>
      <c r="L59" s="14">
        <f>K11/inputoutput!L21</f>
        <v>7.6616908950387669E-2</v>
      </c>
      <c r="M59" s="19">
        <f>L11/inputoutput!M21</f>
        <v>0.18602287723808525</v>
      </c>
      <c r="N59" s="14">
        <f>M11/inputoutput!N21</f>
        <v>0.16975243320209346</v>
      </c>
      <c r="O59" s="14">
        <f>N11/inputoutput!O21</f>
        <v>0.24232436772071747</v>
      </c>
      <c r="P59" s="19">
        <f>O11/inputoutput!P21</f>
        <v>0.21868206977151616</v>
      </c>
      <c r="Q59" s="14">
        <f>P11/inputoutput!Q21</f>
        <v>1.6199126577424221E-4</v>
      </c>
      <c r="R59" s="14">
        <f>Q11/inputoutput!R21</f>
        <v>2.6449256470916779E-2</v>
      </c>
      <c r="S59" s="19">
        <f>R11/inputoutput!S21</f>
        <v>6.8201558947265567E-2</v>
      </c>
      <c r="T59" s="14">
        <f>S11/inputoutput!T21</f>
        <v>9.7942867552421306E-2</v>
      </c>
      <c r="U59" s="14">
        <f>T11/inputoutput!U21</f>
        <v>3.6100322859102738E-2</v>
      </c>
      <c r="Y59" s="62"/>
    </row>
    <row r="60" spans="1:25" ht="15.75" customHeight="1" x14ac:dyDescent="0.3">
      <c r="A60" s="63">
        <v>11</v>
      </c>
      <c r="B60" s="63" t="s">
        <v>50</v>
      </c>
      <c r="C60" s="14">
        <f>B12/inputoutput!C22</f>
        <v>7.2650278667256263E-2</v>
      </c>
      <c r="D60" s="14">
        <f>C12/inputoutput!D22</f>
        <v>0.14295149117510722</v>
      </c>
      <c r="E60" s="19">
        <f>D12/inputoutput!E22</f>
        <v>0.25010891522279977</v>
      </c>
      <c r="F60" s="14">
        <f>E12/inputoutput!F22</f>
        <v>5.284316658590666E-2</v>
      </c>
      <c r="G60" s="19">
        <f>F12/inputoutput!G22</f>
        <v>0.31362836523502352</v>
      </c>
      <c r="H60" s="14">
        <f>G12/inputoutput!H22</f>
        <v>5.7521315978435857E-2</v>
      </c>
      <c r="I60" s="19">
        <f>H12/inputoutput!I22</f>
        <v>0.28206469784113203</v>
      </c>
      <c r="J60" s="19">
        <f>I12/inputoutput!J22</f>
        <v>9.7600962376492004E-2</v>
      </c>
      <c r="K60" s="19">
        <f>J12/inputoutput!K22</f>
        <v>0.22136950144327902</v>
      </c>
      <c r="L60" s="19">
        <f>K12/inputoutput!L22</f>
        <v>0.10696829881998643</v>
      </c>
      <c r="M60" s="19">
        <f>L12/inputoutput!M22</f>
        <v>0.12675167106704244</v>
      </c>
      <c r="N60" s="19">
        <f>M12/inputoutput!N22</f>
        <v>0.11503249275559255</v>
      </c>
      <c r="O60" s="19">
        <f>N12/inputoutput!O22</f>
        <v>0.12486180791896727</v>
      </c>
      <c r="P60" s="19">
        <f>O12/inputoutput!P22</f>
        <v>0.12257843332626973</v>
      </c>
      <c r="Q60" s="14">
        <f>P12/inputoutput!Q22</f>
        <v>2.7046431785202323E-2</v>
      </c>
      <c r="R60" s="14">
        <f>Q12/inputoutput!R22</f>
        <v>4.7858547044771341E-2</v>
      </c>
      <c r="S60" s="19">
        <f>R12/inputoutput!S22</f>
        <v>0.11107808588739282</v>
      </c>
      <c r="T60" s="19">
        <f>S12/inputoutput!T22</f>
        <v>0.10001791153135976</v>
      </c>
      <c r="U60" s="14">
        <f>T12/inputoutput!U22</f>
        <v>9.3960219224827543E-2</v>
      </c>
      <c r="Y60" s="62"/>
    </row>
    <row r="61" spans="1:25" ht="15.75" customHeight="1" x14ac:dyDescent="0.3">
      <c r="A61" s="63">
        <v>12</v>
      </c>
      <c r="B61" s="63" t="s">
        <v>51</v>
      </c>
      <c r="C61" s="14">
        <f>B13/inputoutput!C23</f>
        <v>0.16346043349106076</v>
      </c>
      <c r="D61" s="14">
        <f>C13/inputoutput!D23</f>
        <v>9.2362558518026466E-2</v>
      </c>
      <c r="E61" s="19">
        <f>D13/inputoutput!E23</f>
        <v>9.0689463900151548E-2</v>
      </c>
      <c r="F61" s="14">
        <f>E13/inputoutput!F23</f>
        <v>8.2347337133133094E-2</v>
      </c>
      <c r="G61" s="14">
        <f>F13/inputoutput!G23</f>
        <v>3.9946793456544803E-2</v>
      </c>
      <c r="H61" s="14">
        <f>G13/inputoutput!H23</f>
        <v>0.14086869985502495</v>
      </c>
      <c r="I61" s="19">
        <f>H13/inputoutput!I23</f>
        <v>5.7928863055717435E-2</v>
      </c>
      <c r="J61" s="19">
        <f>I13/inputoutput!J23</f>
        <v>7.2359707535418857E-2</v>
      </c>
      <c r="K61" s="19">
        <f>J13/inputoutput!K23</f>
        <v>0.17418746507090299</v>
      </c>
      <c r="L61" s="19">
        <f>K13/inputoutput!L23</f>
        <v>5.8593560229326172E-2</v>
      </c>
      <c r="M61" s="19">
        <f>L13/inputoutput!M23</f>
        <v>8.2956876809091737E-2</v>
      </c>
      <c r="N61" s="19">
        <f>M13/inputoutput!N23</f>
        <v>9.4777206100856631E-2</v>
      </c>
      <c r="O61" s="19">
        <f>N13/inputoutput!O23</f>
        <v>1.2319555158230175E-2</v>
      </c>
      <c r="P61" s="19">
        <f>O13/inputoutput!P23</f>
        <v>0.11238012240416703</v>
      </c>
      <c r="Q61" s="14">
        <f>P13/inputoutput!Q23</f>
        <v>1.6254377500238604E-2</v>
      </c>
      <c r="R61" s="14">
        <f>Q13/inputoutput!R23</f>
        <v>5.1863662278586714E-2</v>
      </c>
      <c r="S61" s="19">
        <f>R13/inputoutput!S23</f>
        <v>8.2153055713465067E-2</v>
      </c>
      <c r="T61" s="14">
        <f>S13/inputoutput!T23</f>
        <v>8.0562572921432693E-2</v>
      </c>
      <c r="U61" s="14">
        <f>T13/inputoutput!U23</f>
        <v>4.2975399728959633E-2</v>
      </c>
      <c r="Y61" s="62"/>
    </row>
    <row r="62" spans="1:25" ht="15.75" customHeight="1" x14ac:dyDescent="0.3">
      <c r="A62" s="63">
        <v>13</v>
      </c>
      <c r="B62" s="63" t="s">
        <v>52</v>
      </c>
      <c r="C62" s="14">
        <f>B14/inputoutput!C24</f>
        <v>0.63265778668759232</v>
      </c>
      <c r="D62" s="14">
        <f>C14/inputoutput!D24</f>
        <v>3.540084893773851E-2</v>
      </c>
      <c r="E62" s="19">
        <f>D14/inputoutput!E24</f>
        <v>1.4398024996104378E-2</v>
      </c>
      <c r="F62" s="14">
        <f>E14/inputoutput!F24</f>
        <v>2.149540064457121E-2</v>
      </c>
      <c r="G62" s="14">
        <f>F14/inputoutput!G24</f>
        <v>0.10259367791178368</v>
      </c>
      <c r="H62" s="14">
        <f>G14/inputoutput!H24</f>
        <v>9.3002183984367392E-3</v>
      </c>
      <c r="I62" s="19">
        <f>H14/inputoutput!I24</f>
        <v>8.2935262006371788E-2</v>
      </c>
      <c r="J62" s="19">
        <f>I14/inputoutput!J24</f>
        <v>1.7296833109505073E-2</v>
      </c>
      <c r="K62" s="14">
        <f>J14/inputoutput!K24</f>
        <v>1.8616561554779521E-2</v>
      </c>
      <c r="L62" s="14">
        <f>K14/inputoutput!L24</f>
        <v>9.6237091854967059E-3</v>
      </c>
      <c r="M62" s="14">
        <f>L14/inputoutput!M24</f>
        <v>2.6783743967653057E-2</v>
      </c>
      <c r="N62" s="14">
        <f>M14/inputoutput!N24</f>
        <v>6.5073128336578644E-3</v>
      </c>
      <c r="O62" s="19">
        <f>N14/inputoutput!O24</f>
        <v>0.10255869499644983</v>
      </c>
      <c r="P62" s="19">
        <f>O14/inputoutput!P24</f>
        <v>2.8026463558386748E-2</v>
      </c>
      <c r="Q62" s="14">
        <f>P14/inputoutput!Q24</f>
        <v>1.2121534010830486E-3</v>
      </c>
      <c r="R62" s="14">
        <f>Q14/inputoutput!R24</f>
        <v>3.6112573030804294E-4</v>
      </c>
      <c r="S62" s="14">
        <f>R14/inputoutput!S24</f>
        <v>9.6249633885351713E-3</v>
      </c>
      <c r="T62" s="14">
        <f>S14/inputoutput!T24</f>
        <v>9.6061794689938865E-3</v>
      </c>
      <c r="U62" s="14">
        <f>T14/inputoutput!U24</f>
        <v>2.2165749325872969E-2</v>
      </c>
      <c r="Y62" s="62"/>
    </row>
    <row r="63" spans="1:25" ht="15.75" customHeight="1" x14ac:dyDescent="0.3">
      <c r="A63" s="63">
        <v>14</v>
      </c>
      <c r="B63" s="63" t="s">
        <v>67</v>
      </c>
      <c r="C63" s="14">
        <f>B15/inputoutput!C25</f>
        <v>5.2418100064682886E-2</v>
      </c>
      <c r="D63" s="14">
        <f>C15/inputoutput!D25</f>
        <v>0.13452804289455098</v>
      </c>
      <c r="E63" s="19">
        <f>D15/inputoutput!E25</f>
        <v>9.9044231391161419E-2</v>
      </c>
      <c r="F63" s="19">
        <f>E15/inputoutput!F25</f>
        <v>0.11042516615226021</v>
      </c>
      <c r="G63" s="14">
        <f>F15/inputoutput!G25</f>
        <v>4.5069956249242683E-2</v>
      </c>
      <c r="H63" s="19">
        <f>G15/inputoutput!H25</f>
        <v>6.7616226449803252E-2</v>
      </c>
      <c r="I63" s="19">
        <f>H15/inputoutput!I25</f>
        <v>5.7706792167635829E-2</v>
      </c>
      <c r="J63" s="19">
        <f>I15/inputoutput!J25</f>
        <v>9.036209356283742E-2</v>
      </c>
      <c r="K63" s="19">
        <f>J15/inputoutput!K25</f>
        <v>9.2411261095648553E-2</v>
      </c>
      <c r="L63" s="19">
        <f>K15/inputoutput!L25</f>
        <v>6.9272801426120481E-2</v>
      </c>
      <c r="M63" s="19">
        <f>L15/inputoutput!M25</f>
        <v>9.5966387151841387E-2</v>
      </c>
      <c r="N63" s="19">
        <f>M15/inputoutput!N25</f>
        <v>7.5084532921807362E-2</v>
      </c>
      <c r="O63" s="19">
        <f>N15/inputoutput!O25</f>
        <v>4.8540697452983492E-2</v>
      </c>
      <c r="P63" s="19">
        <f>O15/inputoutput!P25</f>
        <v>7.4936549948048728E-2</v>
      </c>
      <c r="Q63" s="19">
        <f>P15/inputoutput!Q25</f>
        <v>3.2919008096308072E-2</v>
      </c>
      <c r="R63" s="19">
        <f>Q15/inputoutput!R25</f>
        <v>4.3358754347866811E-2</v>
      </c>
      <c r="S63" s="19">
        <f>R15/inputoutput!S25</f>
        <v>6.0270881661230818E-2</v>
      </c>
      <c r="T63" s="19">
        <f>S15/inputoutput!T25</f>
        <v>4.8170571466528471E-2</v>
      </c>
      <c r="U63" s="14">
        <f>T15/inputoutput!U25</f>
        <v>3.3789572030949407E-2</v>
      </c>
      <c r="Y63" s="62"/>
    </row>
    <row r="64" spans="1:25" ht="15.75" customHeight="1" x14ac:dyDescent="0.3">
      <c r="A64" s="63">
        <v>15</v>
      </c>
      <c r="B64" s="63" t="s">
        <v>54</v>
      </c>
      <c r="C64" s="14">
        <f>B16/inputoutput!C26</f>
        <v>4.7216975150014349E-2</v>
      </c>
      <c r="D64" s="14">
        <f>C16/inputoutput!D26</f>
        <v>4.925694331655027E-2</v>
      </c>
      <c r="E64" s="14">
        <f>D16/inputoutput!E26</f>
        <v>2.8686324861618526E-2</v>
      </c>
      <c r="F64" s="14">
        <f>E16/inputoutput!F26</f>
        <v>1.8065177140667984E-3</v>
      </c>
      <c r="G64" s="14">
        <f>F16/inputoutput!G26</f>
        <v>1.4735426478572041E-2</v>
      </c>
      <c r="H64" s="14">
        <f>G16/inputoutput!H26</f>
        <v>5.175227115639644E-2</v>
      </c>
      <c r="I64" s="14">
        <f>H16/inputoutput!I26</f>
        <v>6.7460907081988167E-2</v>
      </c>
      <c r="J64" s="14">
        <f>I16/inputoutput!J26</f>
        <v>1.753100729856601E-2</v>
      </c>
      <c r="K64" s="14">
        <f>J16/inputoutput!K26</f>
        <v>3.151662514602644E-2</v>
      </c>
      <c r="L64" s="14">
        <f>K16/inputoutput!L26</f>
        <v>2.7299826436799957E-2</v>
      </c>
      <c r="M64" s="14">
        <f>L16/inputoutput!M26</f>
        <v>3.0099674501301087E-2</v>
      </c>
      <c r="N64" s="14">
        <f>M16/inputoutput!N26</f>
        <v>3.5015249787283514E-2</v>
      </c>
      <c r="O64" s="14">
        <f>N16/inputoutput!O26</f>
        <v>2.773807373735215E-2</v>
      </c>
      <c r="P64" s="14">
        <f>O16/inputoutput!P26</f>
        <v>3.610647897943766E-2</v>
      </c>
      <c r="Q64" s="14">
        <f>P16/inputoutput!Q26</f>
        <v>4.4540817669060902E-3</v>
      </c>
      <c r="R64" s="14">
        <f>Q16/inputoutput!R26</f>
        <v>1.1026629118328342E-2</v>
      </c>
      <c r="S64" s="14">
        <f>R16/inputoutput!S26</f>
        <v>1.8575113708431738E-2</v>
      </c>
      <c r="T64" s="14">
        <f>S16/inputoutput!T26</f>
        <v>1.1464581809629225E-2</v>
      </c>
      <c r="U64" s="14">
        <f>T16/inputoutput!U26</f>
        <v>2.1042588270273041E-2</v>
      </c>
      <c r="Y64" s="62"/>
    </row>
    <row r="65" spans="1:25" ht="15.75" customHeight="1" x14ac:dyDescent="0.3">
      <c r="A65" s="63">
        <v>16</v>
      </c>
      <c r="B65" s="63" t="s">
        <v>55</v>
      </c>
      <c r="C65" s="14">
        <f>B17/inputoutput!C27</f>
        <v>8.3233375266961174E-3</v>
      </c>
      <c r="D65" s="14">
        <f>C17/inputoutput!D27</f>
        <v>2.0465158904406124E-2</v>
      </c>
      <c r="E65" s="14">
        <f>D17/inputoutput!E27</f>
        <v>6.3139827405752552E-2</v>
      </c>
      <c r="F65" s="14">
        <f>E17/inputoutput!F27</f>
        <v>2.5887075709041918E-2</v>
      </c>
      <c r="G65" s="14">
        <f>F17/inputoutput!G27</f>
        <v>8.284837827861409E-2</v>
      </c>
      <c r="H65" s="14">
        <f>G17/inputoutput!H27</f>
        <v>6.9058958984254066E-3</v>
      </c>
      <c r="I65" s="14">
        <f>H17/inputoutput!I27</f>
        <v>0.10138272827901146</v>
      </c>
      <c r="J65" s="14">
        <f>I17/inputoutput!J27</f>
        <v>3.139653675060055E-2</v>
      </c>
      <c r="K65" s="14">
        <f>J17/inputoutput!K27</f>
        <v>2.3646287467789181E-2</v>
      </c>
      <c r="L65" s="14">
        <f>K17/inputoutput!L27</f>
        <v>1.7673779083297994E-2</v>
      </c>
      <c r="M65" s="14">
        <f>L17/inputoutput!M27</f>
        <v>4.0837640819410589E-2</v>
      </c>
      <c r="N65" s="14">
        <f>M17/inputoutput!N27</f>
        <v>5.0230911392341655E-2</v>
      </c>
      <c r="O65" s="14">
        <f>N17/inputoutput!O27</f>
        <v>3.6116836784851614E-2</v>
      </c>
      <c r="P65" s="14">
        <f>O17/inputoutput!P27</f>
        <v>3.3087062238219618E-2</v>
      </c>
      <c r="Q65" s="14">
        <f>P17/inputoutput!Q27</f>
        <v>5.1193800081402873E-4</v>
      </c>
      <c r="R65" s="14">
        <f>Q17/inputoutput!R27</f>
        <v>9.4070096989798749E-3</v>
      </c>
      <c r="S65" s="14">
        <f>R17/inputoutput!S27</f>
        <v>9.1676158285669811E-3</v>
      </c>
      <c r="T65" s="14">
        <f>S17/inputoutput!T27</f>
        <v>8.6837329125958977E-3</v>
      </c>
      <c r="U65" s="14">
        <f>T17/inputoutput!U27</f>
        <v>3.1649718775122536E-2</v>
      </c>
      <c r="Y65" s="62"/>
    </row>
    <row r="66" spans="1:25" ht="15.75" customHeight="1" x14ac:dyDescent="0.3">
      <c r="A66" s="63">
        <v>17</v>
      </c>
      <c r="B66" s="63" t="s">
        <v>56</v>
      </c>
      <c r="C66" s="14">
        <f>B18/inputoutput!C28</f>
        <v>4.3558675876646656E-2</v>
      </c>
      <c r="D66" s="14">
        <f>C18/inputoutput!D28</f>
        <v>3.2570571803407437E-2</v>
      </c>
      <c r="E66" s="19">
        <f>D18/inputoutput!E28</f>
        <v>0.73128537199999455</v>
      </c>
      <c r="F66" s="14">
        <f>E18/inputoutput!F28</f>
        <v>9.9792098357556328E-2</v>
      </c>
      <c r="G66" s="14">
        <f>F18/inputoutput!G28</f>
        <v>2.2773136562805857E-2</v>
      </c>
      <c r="H66" s="14">
        <f>G18/inputoutput!H28</f>
        <v>2.185972715032845E-2</v>
      </c>
      <c r="I66" s="14">
        <f>H18/inputoutput!I28</f>
        <v>2.412667922534573E-2</v>
      </c>
      <c r="J66" s="14">
        <f>I18/inputoutput!J28</f>
        <v>5.6675157657474835E-2</v>
      </c>
      <c r="K66" s="14">
        <f>J18/inputoutput!K28</f>
        <v>0.20006810832385266</v>
      </c>
      <c r="L66" s="14">
        <f>K18/inputoutput!L28</f>
        <v>2.9473126036213007E-2</v>
      </c>
      <c r="M66" s="14">
        <f>L18/inputoutput!M28</f>
        <v>9.4707209141134244E-2</v>
      </c>
      <c r="N66" s="14">
        <f>M18/inputoutput!N28</f>
        <v>3.7811515238442783E-2</v>
      </c>
      <c r="O66" s="14">
        <f>N18/inputoutput!O28</f>
        <v>2.2196051516839822E-2</v>
      </c>
      <c r="P66" s="14">
        <f>O18/inputoutput!P28</f>
        <v>4.7939458072534503E-2</v>
      </c>
      <c r="Q66" s="14">
        <f>P18/inputoutput!Q28</f>
        <v>1.1489744716495121E-3</v>
      </c>
      <c r="R66" s="14">
        <f>Q18/inputoutput!R28</f>
        <v>6.6992101133468256E-3</v>
      </c>
      <c r="S66" s="19">
        <f>R18/inputoutput!S28</f>
        <v>1.7623276176905126E-2</v>
      </c>
      <c r="T66" s="14">
        <f>S18/inputoutput!T28</f>
        <v>3.3433284941889192E-2</v>
      </c>
      <c r="U66" s="14">
        <f>T18/inputoutput!U28</f>
        <v>2.3844597514924924E-2</v>
      </c>
      <c r="Y66" s="62"/>
    </row>
    <row r="67" spans="1:25" ht="15.75" customHeight="1" x14ac:dyDescent="0.3">
      <c r="A67" s="63">
        <v>18</v>
      </c>
      <c r="B67" s="63" t="s">
        <v>57</v>
      </c>
      <c r="C67" s="14">
        <f>B19/inputoutput!C29</f>
        <v>6.0105978699620298E-3</v>
      </c>
      <c r="D67" s="14">
        <f>C19/inputoutput!D29</f>
        <v>0.12725388617810729</v>
      </c>
      <c r="E67" s="19">
        <f>D19/inputoutput!E29</f>
        <v>5.5319843799200123E-2</v>
      </c>
      <c r="F67" s="14">
        <f>E19/inputoutput!F29</f>
        <v>0.15087039106422287</v>
      </c>
      <c r="G67" s="14">
        <f>F19/inputoutput!G29</f>
        <v>2.5858619938926877E-2</v>
      </c>
      <c r="H67" s="14">
        <f>G19/inputoutput!H29</f>
        <v>0.16876835855846486</v>
      </c>
      <c r="I67" s="14">
        <f>H19/inputoutput!I29</f>
        <v>2.5005823803901459E-2</v>
      </c>
      <c r="J67" s="14">
        <f>I19/inputoutput!J29</f>
        <v>3.5248958531518042E-2</v>
      </c>
      <c r="K67" s="14">
        <f>J19/inputoutput!K29</f>
        <v>6.0061368329773705E-2</v>
      </c>
      <c r="L67" s="14">
        <f>K19/inputoutput!L29</f>
        <v>6.4729156021142223E-2</v>
      </c>
      <c r="M67" s="14">
        <f>L19/inputoutput!M29</f>
        <v>4.7361969407965103E-2</v>
      </c>
      <c r="N67" s="14">
        <f>M19/inputoutput!N29</f>
        <v>3.0059938183766725E-2</v>
      </c>
      <c r="O67" s="14">
        <f>N19/inputoutput!O29</f>
        <v>1.9219911645526881E-2</v>
      </c>
      <c r="P67" s="14">
        <f>O19/inputoutput!P29</f>
        <v>4.2636425578142775E-2</v>
      </c>
      <c r="Q67" s="14">
        <f>P19/inputoutput!Q29</f>
        <v>3.7790632381594462E-3</v>
      </c>
      <c r="R67" s="14">
        <f>Q19/inputoutput!R29</f>
        <v>1.7821399402239792E-2</v>
      </c>
      <c r="S67" s="14">
        <f>R19/inputoutput!S29</f>
        <v>4.3548815835417427E-2</v>
      </c>
      <c r="T67" s="14">
        <f>S19/inputoutput!T29</f>
        <v>4.9209847367239178E-3</v>
      </c>
      <c r="U67" s="14">
        <f>T19/inputoutput!U29</f>
        <v>4.4806724480415932E-3</v>
      </c>
      <c r="Y67" s="62"/>
    </row>
    <row r="68" spans="1:25" ht="15.75" customHeight="1" x14ac:dyDescent="0.3">
      <c r="A68" s="63">
        <v>19</v>
      </c>
      <c r="B68" s="63" t="s">
        <v>68</v>
      </c>
      <c r="C68" s="14">
        <f>B20/inputoutput!C30</f>
        <v>1.1232020707874865E-2</v>
      </c>
      <c r="D68" s="14">
        <f>C20/inputoutput!D30</f>
        <v>6.2838656450915353E-2</v>
      </c>
      <c r="E68" s="19">
        <f>D20/inputoutput!E30</f>
        <v>0.15500966195876956</v>
      </c>
      <c r="F68" s="14">
        <f>E20/inputoutput!F30</f>
        <v>8.8508795133584062E-2</v>
      </c>
      <c r="G68" s="14">
        <f>F20/inputoutput!G30</f>
        <v>6.1720618077158583E-2</v>
      </c>
      <c r="H68" s="14">
        <f>G20/inputoutput!H30</f>
        <v>4.0989668357051721E-2</v>
      </c>
      <c r="I68" s="14">
        <f>H20/inputoutput!I30</f>
        <v>5.56706550094348E-2</v>
      </c>
      <c r="J68" s="14">
        <f>I20/inputoutput!J30</f>
        <v>5.9332003072274431E-2</v>
      </c>
      <c r="K68" s="14">
        <f>J20/inputoutput!K30</f>
        <v>8.3051557235233484E-2</v>
      </c>
      <c r="L68" s="14">
        <f>K20/inputoutput!L30</f>
        <v>2.8723306467681026E-2</v>
      </c>
      <c r="M68" s="14">
        <f>L20/inputoutput!M30</f>
        <v>0.13874142854765933</v>
      </c>
      <c r="N68" s="14">
        <f>M20/inputoutput!N30</f>
        <v>9.4279269042746777E-2</v>
      </c>
      <c r="O68" s="14">
        <f>N20/inputoutput!O30</f>
        <v>8.4733303844718527E-2</v>
      </c>
      <c r="P68" s="14">
        <f>O20/inputoutput!P30</f>
        <v>9.486277319198344E-2</v>
      </c>
      <c r="Q68" s="14">
        <f>P20/inputoutput!Q30</f>
        <v>1.9157549725087115E-2</v>
      </c>
      <c r="R68" s="14">
        <f>Q20/inputoutput!R30</f>
        <v>3.0127693344743346E-2</v>
      </c>
      <c r="S68" s="14">
        <f>R20/inputoutput!S30</f>
        <v>4.5593449325294813E-2</v>
      </c>
      <c r="T68" s="14">
        <f>S20/inputoutput!T30</f>
        <v>2.0784190280347139E-2</v>
      </c>
      <c r="U68" s="14">
        <f>T20/inputoutput!U30</f>
        <v>1.2648735432362558E-2</v>
      </c>
      <c r="Y68" s="62"/>
    </row>
    <row r="69" spans="1:25" ht="15.75" customHeight="1" x14ac:dyDescent="0.25">
      <c r="U69" s="1"/>
      <c r="Y69" s="62"/>
    </row>
    <row r="70" spans="1:25" ht="15.75" customHeight="1" x14ac:dyDescent="0.3">
      <c r="A70" s="7" t="s">
        <v>153</v>
      </c>
      <c r="U70" s="1"/>
      <c r="Y70" s="62"/>
    </row>
    <row r="71" spans="1:25" ht="15.75" customHeight="1" x14ac:dyDescent="0.3">
      <c r="A71" s="7" t="s">
        <v>148</v>
      </c>
      <c r="C71" s="7" t="s">
        <v>154</v>
      </c>
      <c r="U71" s="1"/>
      <c r="Y71" s="62"/>
    </row>
    <row r="72" spans="1:25" ht="15.75" customHeight="1" x14ac:dyDescent="0.3">
      <c r="A72" s="7">
        <v>1</v>
      </c>
      <c r="B72" s="63" t="s">
        <v>41</v>
      </c>
      <c r="C72" s="14">
        <v>198264828</v>
      </c>
      <c r="U72" s="1"/>
      <c r="Y72" s="62"/>
    </row>
    <row r="73" spans="1:25" ht="15.75" customHeight="1" x14ac:dyDescent="0.3">
      <c r="A73" s="7">
        <v>2</v>
      </c>
      <c r="B73" s="63" t="s">
        <v>42</v>
      </c>
      <c r="C73" s="14">
        <v>18465517</v>
      </c>
      <c r="U73" s="1"/>
      <c r="Y73" s="62"/>
    </row>
    <row r="74" spans="1:25" ht="15.75" customHeight="1" x14ac:dyDescent="0.3">
      <c r="A74" s="7">
        <v>3</v>
      </c>
      <c r="B74" s="63" t="s">
        <v>43</v>
      </c>
      <c r="C74" s="14">
        <v>11150775690</v>
      </c>
      <c r="U74" s="1"/>
      <c r="Y74" s="62"/>
    </row>
    <row r="75" spans="1:25" ht="15.75" customHeight="1" x14ac:dyDescent="0.3">
      <c r="A75" s="7">
        <v>4</v>
      </c>
      <c r="B75" s="63" t="s">
        <v>66</v>
      </c>
      <c r="C75" s="14">
        <v>19261379</v>
      </c>
      <c r="U75" s="1"/>
      <c r="Y75" s="62"/>
    </row>
    <row r="76" spans="1:25" ht="15.75" customHeight="1" x14ac:dyDescent="0.3">
      <c r="A76" s="7">
        <v>5</v>
      </c>
      <c r="B76" s="63" t="s">
        <v>44</v>
      </c>
      <c r="C76" s="14">
        <v>-47360862</v>
      </c>
      <c r="U76" s="1"/>
      <c r="Y76" s="62"/>
    </row>
    <row r="77" spans="1:25" ht="15.75" customHeight="1" x14ac:dyDescent="0.3">
      <c r="A77" s="7">
        <v>6</v>
      </c>
      <c r="B77" s="63" t="s">
        <v>45</v>
      </c>
      <c r="C77" s="14">
        <v>-8390690</v>
      </c>
      <c r="U77" s="1"/>
      <c r="Y77" s="62"/>
    </row>
    <row r="78" spans="1:25" ht="15.75" customHeight="1" x14ac:dyDescent="0.3">
      <c r="A78" s="7">
        <v>7</v>
      </c>
      <c r="B78" s="63" t="s">
        <v>46</v>
      </c>
      <c r="C78" s="14">
        <v>110131552</v>
      </c>
      <c r="U78" s="1"/>
      <c r="Y78" s="62"/>
    </row>
    <row r="79" spans="1:25" ht="15.75" customHeight="1" x14ac:dyDescent="0.3">
      <c r="A79" s="7">
        <v>8</v>
      </c>
      <c r="B79" s="63" t="s">
        <v>47</v>
      </c>
      <c r="C79" s="14">
        <v>2191546207</v>
      </c>
      <c r="U79" s="1"/>
      <c r="Y79" s="62"/>
    </row>
    <row r="80" spans="1:25" ht="15.75" customHeight="1" x14ac:dyDescent="0.3">
      <c r="A80" s="7">
        <v>9</v>
      </c>
      <c r="B80" s="63" t="s">
        <v>48</v>
      </c>
      <c r="C80" s="14">
        <v>218559483</v>
      </c>
      <c r="U80" s="1"/>
      <c r="Y80" s="62"/>
    </row>
    <row r="81" spans="1:25" ht="15.75" customHeight="1" x14ac:dyDescent="0.3">
      <c r="A81" s="7">
        <v>10</v>
      </c>
      <c r="B81" s="63" t="s">
        <v>49</v>
      </c>
      <c r="C81" s="14">
        <v>5717241</v>
      </c>
      <c r="U81" s="1"/>
      <c r="Y81" s="62"/>
    </row>
    <row r="82" spans="1:25" ht="15.75" customHeight="1" x14ac:dyDescent="0.3">
      <c r="A82" s="7">
        <v>11</v>
      </c>
      <c r="B82" s="63" t="s">
        <v>50</v>
      </c>
      <c r="C82" s="14">
        <v>219628276</v>
      </c>
      <c r="U82" s="1"/>
      <c r="Y82" s="62"/>
    </row>
    <row r="83" spans="1:25" ht="15.75" customHeight="1" x14ac:dyDescent="0.3">
      <c r="A83" s="7">
        <v>12</v>
      </c>
      <c r="B83" s="63" t="s">
        <v>51</v>
      </c>
      <c r="C83" s="14">
        <v>474179828</v>
      </c>
      <c r="U83" s="1"/>
      <c r="Y83" s="62"/>
    </row>
    <row r="84" spans="1:25" ht="15.75" customHeight="1" x14ac:dyDescent="0.3">
      <c r="A84" s="7">
        <v>13</v>
      </c>
      <c r="B84" s="63" t="s">
        <v>52</v>
      </c>
      <c r="C84" s="14">
        <v>-87114310</v>
      </c>
      <c r="U84" s="1"/>
      <c r="Y84" s="62"/>
    </row>
    <row r="85" spans="1:25" ht="15.75" customHeight="1" x14ac:dyDescent="0.3">
      <c r="A85" s="7">
        <v>14</v>
      </c>
      <c r="B85" s="63" t="s">
        <v>67</v>
      </c>
      <c r="C85" s="14">
        <v>476435517</v>
      </c>
      <c r="U85" s="1"/>
      <c r="Y85" s="62"/>
    </row>
    <row r="86" spans="1:25" ht="15.75" customHeight="1" x14ac:dyDescent="0.3">
      <c r="A86" s="7">
        <v>15</v>
      </c>
      <c r="B86" s="63" t="s">
        <v>54</v>
      </c>
      <c r="C86" s="14">
        <v>113360517</v>
      </c>
      <c r="U86" s="1"/>
      <c r="Y86" s="62"/>
    </row>
    <row r="87" spans="1:25" ht="15.75" customHeight="1" x14ac:dyDescent="0.3">
      <c r="A87" s="7">
        <v>16</v>
      </c>
      <c r="B87" s="63" t="s">
        <v>55</v>
      </c>
      <c r="C87" s="14">
        <v>857241</v>
      </c>
      <c r="U87" s="1"/>
      <c r="Y87" s="62"/>
    </row>
    <row r="88" spans="1:25" ht="15.75" customHeight="1" x14ac:dyDescent="0.3">
      <c r="A88" s="7">
        <v>17</v>
      </c>
      <c r="B88" s="63" t="s">
        <v>56</v>
      </c>
      <c r="C88" s="14">
        <v>-42676034</v>
      </c>
      <c r="U88" s="1"/>
      <c r="Y88" s="62"/>
    </row>
    <row r="89" spans="1:25" ht="15.75" customHeight="1" x14ac:dyDescent="0.3">
      <c r="A89" s="7">
        <v>18</v>
      </c>
      <c r="B89" s="63" t="s">
        <v>57</v>
      </c>
      <c r="C89" s="14">
        <v>21743103</v>
      </c>
      <c r="U89" s="1"/>
      <c r="Y89" s="62"/>
    </row>
    <row r="90" spans="1:25" ht="15.75" customHeight="1" x14ac:dyDescent="0.3">
      <c r="A90" s="7">
        <v>19</v>
      </c>
      <c r="B90" s="63" t="s">
        <v>68</v>
      </c>
      <c r="C90" s="14">
        <v>15501552</v>
      </c>
      <c r="U90" s="1"/>
      <c r="Y90" s="62"/>
    </row>
    <row r="91" spans="1:25" ht="15.75" customHeight="1" x14ac:dyDescent="0.25">
      <c r="U91" s="1"/>
      <c r="Y91" s="62"/>
    </row>
    <row r="92" spans="1:25" ht="15.75" customHeight="1" x14ac:dyDescent="0.25">
      <c r="U92" s="1"/>
      <c r="Y92" s="62"/>
    </row>
    <row r="93" spans="1:25" ht="15.75" customHeight="1" x14ac:dyDescent="0.25">
      <c r="U93" s="1"/>
      <c r="Y93" s="62"/>
    </row>
    <row r="94" spans="1:25" ht="15.75" customHeight="1" x14ac:dyDescent="0.25">
      <c r="U94" s="1"/>
      <c r="Y94" s="62"/>
    </row>
    <row r="95" spans="1:25" ht="15.75" customHeight="1" x14ac:dyDescent="0.25">
      <c r="U95" s="1"/>
      <c r="Y95" s="62"/>
    </row>
    <row r="96" spans="1:25" ht="15.75" customHeight="1" x14ac:dyDescent="0.25">
      <c r="U96" s="1"/>
      <c r="Y96" s="62"/>
    </row>
    <row r="97" spans="21:25" ht="15.75" customHeight="1" x14ac:dyDescent="0.25">
      <c r="U97" s="1"/>
      <c r="Y97" s="62"/>
    </row>
    <row r="98" spans="21:25" ht="15.75" customHeight="1" x14ac:dyDescent="0.25">
      <c r="U98" s="1"/>
      <c r="Y98" s="62"/>
    </row>
    <row r="99" spans="21:25" ht="15.75" customHeight="1" x14ac:dyDescent="0.25">
      <c r="U99" s="1"/>
      <c r="Y99" s="62"/>
    </row>
    <row r="100" spans="21:25" ht="15.75" customHeight="1" x14ac:dyDescent="0.25">
      <c r="U100" s="1"/>
      <c r="Y100" s="62"/>
    </row>
    <row r="101" spans="21:25" ht="15.75" customHeight="1" x14ac:dyDescent="0.25">
      <c r="U101" s="1"/>
      <c r="Y101" s="62"/>
    </row>
    <row r="102" spans="21:25" ht="15.75" customHeight="1" x14ac:dyDescent="0.25">
      <c r="U102" s="1"/>
      <c r="Y102" s="62"/>
    </row>
    <row r="103" spans="21:25" ht="15.75" customHeight="1" x14ac:dyDescent="0.25">
      <c r="U103" s="1"/>
      <c r="Y103" s="62"/>
    </row>
    <row r="104" spans="21:25" ht="15.75" customHeight="1" x14ac:dyDescent="0.25">
      <c r="U104" s="1"/>
      <c r="Y104" s="62"/>
    </row>
    <row r="105" spans="21:25" ht="15.75" customHeight="1" x14ac:dyDescent="0.25">
      <c r="U105" s="1"/>
      <c r="Y105" s="62"/>
    </row>
    <row r="106" spans="21:25" ht="15.75" customHeight="1" x14ac:dyDescent="0.25">
      <c r="U106" s="1"/>
      <c r="Y106" s="62"/>
    </row>
    <row r="107" spans="21:25" ht="15.75" customHeight="1" x14ac:dyDescent="0.25">
      <c r="U107" s="1"/>
      <c r="Y107" s="62"/>
    </row>
    <row r="108" spans="21:25" ht="15.75" customHeight="1" x14ac:dyDescent="0.25">
      <c r="U108" s="1"/>
      <c r="Y108" s="62"/>
    </row>
    <row r="109" spans="21:25" ht="15.75" customHeight="1" x14ac:dyDescent="0.25">
      <c r="U109" s="1"/>
      <c r="Y109" s="62"/>
    </row>
    <row r="110" spans="21:25" ht="15.75" customHeight="1" x14ac:dyDescent="0.25">
      <c r="U110" s="1"/>
      <c r="Y110" s="62"/>
    </row>
    <row r="111" spans="21:25" ht="15.75" customHeight="1" x14ac:dyDescent="0.25">
      <c r="U111" s="1"/>
      <c r="Y111" s="62"/>
    </row>
    <row r="112" spans="21:25" ht="15.75" customHeight="1" x14ac:dyDescent="0.25">
      <c r="U112" s="1"/>
      <c r="Y112" s="62"/>
    </row>
    <row r="113" spans="21:25" ht="15.75" customHeight="1" x14ac:dyDescent="0.25">
      <c r="U113" s="1"/>
      <c r="Y113" s="62"/>
    </row>
    <row r="114" spans="21:25" ht="15.75" customHeight="1" x14ac:dyDescent="0.25">
      <c r="U114" s="1"/>
      <c r="Y114" s="62"/>
    </row>
    <row r="115" spans="21:25" ht="15.75" customHeight="1" x14ac:dyDescent="0.25">
      <c r="U115" s="1"/>
      <c r="Y115" s="62"/>
    </row>
    <row r="116" spans="21:25" ht="15.75" customHeight="1" x14ac:dyDescent="0.25">
      <c r="U116" s="1"/>
      <c r="Y116" s="62"/>
    </row>
    <row r="117" spans="21:25" ht="15.75" customHeight="1" x14ac:dyDescent="0.25">
      <c r="U117" s="1"/>
      <c r="Y117" s="62"/>
    </row>
    <row r="118" spans="21:25" ht="15.75" customHeight="1" x14ac:dyDescent="0.25">
      <c r="U118" s="1"/>
      <c r="Y118" s="62"/>
    </row>
    <row r="119" spans="21:25" ht="15.75" customHeight="1" x14ac:dyDescent="0.25">
      <c r="U119" s="1"/>
      <c r="Y119" s="62"/>
    </row>
    <row r="120" spans="21:25" ht="15.75" customHeight="1" x14ac:dyDescent="0.25">
      <c r="U120" s="1"/>
      <c r="Y120" s="62"/>
    </row>
    <row r="121" spans="21:25" ht="15.75" customHeight="1" x14ac:dyDescent="0.25">
      <c r="U121" s="1"/>
      <c r="Y121" s="62"/>
    </row>
    <row r="122" spans="21:25" ht="15.75" customHeight="1" x14ac:dyDescent="0.25">
      <c r="U122" s="1"/>
      <c r="Y122" s="62"/>
    </row>
    <row r="123" spans="21:25" ht="15.75" customHeight="1" x14ac:dyDescent="0.25">
      <c r="U123" s="1"/>
      <c r="Y123" s="62"/>
    </row>
    <row r="124" spans="21:25" ht="15.75" customHeight="1" x14ac:dyDescent="0.25">
      <c r="U124" s="1"/>
      <c r="Y124" s="62"/>
    </row>
    <row r="125" spans="21:25" ht="15.75" customHeight="1" x14ac:dyDescent="0.25">
      <c r="U125" s="1"/>
      <c r="Y125" s="62"/>
    </row>
    <row r="126" spans="21:25" ht="15.75" customHeight="1" x14ac:dyDescent="0.25">
      <c r="U126" s="1"/>
      <c r="Y126" s="62"/>
    </row>
    <row r="127" spans="21:25" ht="15.75" customHeight="1" x14ac:dyDescent="0.25">
      <c r="U127" s="1"/>
      <c r="Y127" s="62"/>
    </row>
    <row r="128" spans="21:25" ht="15.75" customHeight="1" x14ac:dyDescent="0.25">
      <c r="U128" s="1"/>
      <c r="Y128" s="62"/>
    </row>
    <row r="129" spans="21:25" ht="15.75" customHeight="1" x14ac:dyDescent="0.25">
      <c r="U129" s="1"/>
      <c r="Y129" s="62"/>
    </row>
    <row r="130" spans="21:25" ht="15.75" customHeight="1" x14ac:dyDescent="0.25">
      <c r="U130" s="1"/>
      <c r="Y130" s="62"/>
    </row>
    <row r="131" spans="21:25" ht="15.75" customHeight="1" x14ac:dyDescent="0.25">
      <c r="U131" s="1"/>
      <c r="Y131" s="62"/>
    </row>
    <row r="132" spans="21:25" ht="15.75" customHeight="1" x14ac:dyDescent="0.25">
      <c r="U132" s="1"/>
      <c r="Y132" s="62"/>
    </row>
    <row r="133" spans="21:25" ht="15.75" customHeight="1" x14ac:dyDescent="0.25">
      <c r="U133" s="1"/>
      <c r="Y133" s="62"/>
    </row>
    <row r="134" spans="21:25" ht="15.75" customHeight="1" x14ac:dyDescent="0.25">
      <c r="U134" s="1"/>
      <c r="Y134" s="62"/>
    </row>
    <row r="135" spans="21:25" ht="15.75" customHeight="1" x14ac:dyDescent="0.25">
      <c r="U135" s="1"/>
      <c r="Y135" s="62"/>
    </row>
    <row r="136" spans="21:25" ht="15.75" customHeight="1" x14ac:dyDescent="0.25">
      <c r="U136" s="1"/>
      <c r="Y136" s="62"/>
    </row>
    <row r="137" spans="21:25" ht="15.75" customHeight="1" x14ac:dyDescent="0.25">
      <c r="U137" s="1"/>
      <c r="Y137" s="62"/>
    </row>
    <row r="138" spans="21:25" ht="15.75" customHeight="1" x14ac:dyDescent="0.25">
      <c r="U138" s="1"/>
      <c r="Y138" s="62"/>
    </row>
    <row r="139" spans="21:25" ht="15.75" customHeight="1" x14ac:dyDescent="0.25">
      <c r="U139" s="1"/>
      <c r="Y139" s="62"/>
    </row>
    <row r="140" spans="21:25" ht="15.75" customHeight="1" x14ac:dyDescent="0.25">
      <c r="U140" s="1"/>
      <c r="Y140" s="62"/>
    </row>
    <row r="141" spans="21:25" ht="15.75" customHeight="1" x14ac:dyDescent="0.25">
      <c r="U141" s="1"/>
      <c r="Y141" s="62"/>
    </row>
    <row r="142" spans="21:25" ht="15.75" customHeight="1" x14ac:dyDescent="0.25">
      <c r="U142" s="1"/>
      <c r="Y142" s="62"/>
    </row>
    <row r="143" spans="21:25" ht="15.75" customHeight="1" x14ac:dyDescent="0.25">
      <c r="U143" s="1"/>
      <c r="Y143" s="62"/>
    </row>
    <row r="144" spans="21:25" ht="15.75" customHeight="1" x14ac:dyDescent="0.25">
      <c r="U144" s="1"/>
      <c r="Y144" s="62"/>
    </row>
    <row r="145" spans="21:25" ht="15.75" customHeight="1" x14ac:dyDescent="0.25">
      <c r="U145" s="1"/>
      <c r="Y145" s="62"/>
    </row>
    <row r="146" spans="21:25" ht="15.75" customHeight="1" x14ac:dyDescent="0.25">
      <c r="U146" s="1"/>
      <c r="Y146" s="62"/>
    </row>
    <row r="147" spans="21:25" ht="15.75" customHeight="1" x14ac:dyDescent="0.25">
      <c r="U147" s="1"/>
      <c r="Y147" s="62"/>
    </row>
    <row r="148" spans="21:25" ht="15.75" customHeight="1" x14ac:dyDescent="0.25">
      <c r="U148" s="1"/>
      <c r="Y148" s="62"/>
    </row>
    <row r="149" spans="21:25" ht="15.75" customHeight="1" x14ac:dyDescent="0.25">
      <c r="U149" s="1"/>
      <c r="Y149" s="62"/>
    </row>
    <row r="150" spans="21:25" ht="15.75" customHeight="1" x14ac:dyDescent="0.25">
      <c r="U150" s="1"/>
      <c r="Y150" s="62"/>
    </row>
    <row r="151" spans="21:25" ht="15.75" customHeight="1" x14ac:dyDescent="0.25">
      <c r="U151" s="1"/>
      <c r="Y151" s="62"/>
    </row>
    <row r="152" spans="21:25" ht="15.75" customHeight="1" x14ac:dyDescent="0.25">
      <c r="U152" s="1"/>
      <c r="Y152" s="62"/>
    </row>
    <row r="153" spans="21:25" ht="15.75" customHeight="1" x14ac:dyDescent="0.25">
      <c r="U153" s="1"/>
      <c r="Y153" s="62"/>
    </row>
    <row r="154" spans="21:25" ht="15.75" customHeight="1" x14ac:dyDescent="0.25">
      <c r="U154" s="1"/>
      <c r="Y154" s="62"/>
    </row>
    <row r="155" spans="21:25" ht="15.75" customHeight="1" x14ac:dyDescent="0.25">
      <c r="U155" s="1"/>
      <c r="Y155" s="62"/>
    </row>
    <row r="156" spans="21:25" ht="15.75" customHeight="1" x14ac:dyDescent="0.25">
      <c r="U156" s="1"/>
      <c r="Y156" s="62"/>
    </row>
    <row r="157" spans="21:25" ht="15.75" customHeight="1" x14ac:dyDescent="0.25">
      <c r="U157" s="1"/>
      <c r="Y157" s="62"/>
    </row>
    <row r="158" spans="21:25" ht="15.75" customHeight="1" x14ac:dyDescent="0.25">
      <c r="U158" s="1"/>
      <c r="Y158" s="62"/>
    </row>
    <row r="159" spans="21:25" ht="15.75" customHeight="1" x14ac:dyDescent="0.25">
      <c r="U159" s="1"/>
      <c r="Y159" s="62"/>
    </row>
    <row r="160" spans="21:25" ht="15.75" customHeight="1" x14ac:dyDescent="0.25">
      <c r="U160" s="1"/>
      <c r="Y160" s="62"/>
    </row>
    <row r="161" spans="21:25" ht="15.75" customHeight="1" x14ac:dyDescent="0.25">
      <c r="U161" s="1"/>
      <c r="Y161" s="62"/>
    </row>
    <row r="162" spans="21:25" ht="15.75" customHeight="1" x14ac:dyDescent="0.25">
      <c r="U162" s="1"/>
      <c r="Y162" s="62"/>
    </row>
    <row r="163" spans="21:25" ht="15.75" customHeight="1" x14ac:dyDescent="0.25">
      <c r="U163" s="1"/>
      <c r="Y163" s="62"/>
    </row>
    <row r="164" spans="21:25" ht="15.75" customHeight="1" x14ac:dyDescent="0.25">
      <c r="U164" s="1"/>
      <c r="Y164" s="62"/>
    </row>
    <row r="165" spans="21:25" ht="15.75" customHeight="1" x14ac:dyDescent="0.25">
      <c r="U165" s="1"/>
      <c r="Y165" s="62"/>
    </row>
    <row r="166" spans="21:25" ht="15.75" customHeight="1" x14ac:dyDescent="0.25">
      <c r="U166" s="1"/>
      <c r="Y166" s="62"/>
    </row>
    <row r="167" spans="21:25" ht="15.75" customHeight="1" x14ac:dyDescent="0.25">
      <c r="U167" s="1"/>
      <c r="Y167" s="62"/>
    </row>
    <row r="168" spans="21:25" ht="15.75" customHeight="1" x14ac:dyDescent="0.25">
      <c r="U168" s="1"/>
      <c r="Y168" s="62"/>
    </row>
    <row r="169" spans="21:25" ht="15.75" customHeight="1" x14ac:dyDescent="0.25">
      <c r="U169" s="1"/>
      <c r="Y169" s="62"/>
    </row>
    <row r="170" spans="21:25" ht="15.75" customHeight="1" x14ac:dyDescent="0.25">
      <c r="U170" s="1"/>
      <c r="Y170" s="62"/>
    </row>
    <row r="171" spans="21:25" ht="15.75" customHeight="1" x14ac:dyDescent="0.25">
      <c r="U171" s="1"/>
      <c r="Y171" s="62"/>
    </row>
    <row r="172" spans="21:25" ht="15.75" customHeight="1" x14ac:dyDescent="0.25">
      <c r="U172" s="1"/>
      <c r="Y172" s="62"/>
    </row>
    <row r="173" spans="21:25" ht="15.75" customHeight="1" x14ac:dyDescent="0.25">
      <c r="U173" s="1"/>
      <c r="Y173" s="62"/>
    </row>
    <row r="174" spans="21:25" ht="15.75" customHeight="1" x14ac:dyDescent="0.25">
      <c r="U174" s="1"/>
      <c r="Y174" s="62"/>
    </row>
    <row r="175" spans="21:25" ht="15.75" customHeight="1" x14ac:dyDescent="0.25">
      <c r="U175" s="1"/>
      <c r="Y175" s="62"/>
    </row>
    <row r="176" spans="21:25" ht="15.75" customHeight="1" x14ac:dyDescent="0.25">
      <c r="U176" s="1"/>
      <c r="Y176" s="62"/>
    </row>
    <row r="177" spans="21:25" ht="15.75" customHeight="1" x14ac:dyDescent="0.25">
      <c r="U177" s="1"/>
      <c r="Y177" s="62"/>
    </row>
    <row r="178" spans="21:25" ht="15.75" customHeight="1" x14ac:dyDescent="0.25">
      <c r="U178" s="1"/>
      <c r="Y178" s="62"/>
    </row>
    <row r="179" spans="21:25" ht="15.75" customHeight="1" x14ac:dyDescent="0.25">
      <c r="U179" s="1"/>
      <c r="Y179" s="62"/>
    </row>
    <row r="180" spans="21:25" ht="15.75" customHeight="1" x14ac:dyDescent="0.25">
      <c r="U180" s="1"/>
      <c r="Y180" s="62"/>
    </row>
    <row r="181" spans="21:25" ht="15.75" customHeight="1" x14ac:dyDescent="0.25">
      <c r="U181" s="1"/>
      <c r="Y181" s="62"/>
    </row>
    <row r="182" spans="21:25" ht="15.75" customHeight="1" x14ac:dyDescent="0.25">
      <c r="U182" s="1"/>
      <c r="Y182" s="62"/>
    </row>
    <row r="183" spans="21:25" ht="15.75" customHeight="1" x14ac:dyDescent="0.25">
      <c r="U183" s="1"/>
      <c r="Y183" s="62"/>
    </row>
    <row r="184" spans="21:25" ht="15.75" customHeight="1" x14ac:dyDescent="0.25">
      <c r="U184" s="1"/>
      <c r="Y184" s="62"/>
    </row>
    <row r="185" spans="21:25" ht="15.75" customHeight="1" x14ac:dyDescent="0.25">
      <c r="U185" s="1"/>
      <c r="Y185" s="62"/>
    </row>
    <row r="186" spans="21:25" ht="15.75" customHeight="1" x14ac:dyDescent="0.25">
      <c r="U186" s="1"/>
      <c r="Y186" s="62"/>
    </row>
    <row r="187" spans="21:25" ht="15.75" customHeight="1" x14ac:dyDescent="0.25">
      <c r="U187" s="1"/>
      <c r="Y187" s="62"/>
    </row>
    <row r="188" spans="21:25" ht="15.75" customHeight="1" x14ac:dyDescent="0.25">
      <c r="U188" s="1"/>
      <c r="Y188" s="62"/>
    </row>
    <row r="189" spans="21:25" ht="15.75" customHeight="1" x14ac:dyDescent="0.25">
      <c r="U189" s="1"/>
      <c r="Y189" s="62"/>
    </row>
    <row r="190" spans="21:25" ht="15.75" customHeight="1" x14ac:dyDescent="0.25">
      <c r="U190" s="1"/>
      <c r="Y190" s="62"/>
    </row>
    <row r="191" spans="21:25" ht="15.75" customHeight="1" x14ac:dyDescent="0.25">
      <c r="U191" s="1"/>
      <c r="Y191" s="62"/>
    </row>
    <row r="192" spans="21:25" ht="15.75" customHeight="1" x14ac:dyDescent="0.25">
      <c r="U192" s="1"/>
      <c r="Y192" s="62"/>
    </row>
    <row r="193" spans="21:25" ht="15.75" customHeight="1" x14ac:dyDescent="0.25">
      <c r="U193" s="1"/>
      <c r="Y193" s="62"/>
    </row>
    <row r="194" spans="21:25" ht="15.75" customHeight="1" x14ac:dyDescent="0.25">
      <c r="U194" s="1"/>
      <c r="Y194" s="62"/>
    </row>
    <row r="195" spans="21:25" ht="15.75" customHeight="1" x14ac:dyDescent="0.25">
      <c r="U195" s="1"/>
      <c r="Y195" s="62"/>
    </row>
    <row r="196" spans="21:25" ht="15.75" customHeight="1" x14ac:dyDescent="0.25">
      <c r="U196" s="1"/>
      <c r="Y196" s="62"/>
    </row>
    <row r="197" spans="21:25" ht="15.75" customHeight="1" x14ac:dyDescent="0.25">
      <c r="U197" s="1"/>
      <c r="Y197" s="62"/>
    </row>
    <row r="198" spans="21:25" ht="15.75" customHeight="1" x14ac:dyDescent="0.25">
      <c r="U198" s="1"/>
      <c r="Y198" s="62"/>
    </row>
    <row r="199" spans="21:25" ht="15.75" customHeight="1" x14ac:dyDescent="0.25">
      <c r="U199" s="1"/>
      <c r="Y199" s="62"/>
    </row>
    <row r="200" spans="21:25" ht="15.75" customHeight="1" x14ac:dyDescent="0.25">
      <c r="U200" s="1"/>
      <c r="Y200" s="62"/>
    </row>
    <row r="201" spans="21:25" ht="15.75" customHeight="1" x14ac:dyDescent="0.25">
      <c r="U201" s="1"/>
      <c r="Y201" s="62"/>
    </row>
    <row r="202" spans="21:25" ht="15.75" customHeight="1" x14ac:dyDescent="0.25">
      <c r="U202" s="1"/>
      <c r="Y202" s="62"/>
    </row>
    <row r="203" spans="21:25" ht="15.75" customHeight="1" x14ac:dyDescent="0.25">
      <c r="U203" s="1"/>
      <c r="Y203" s="62"/>
    </row>
    <row r="204" spans="21:25" ht="15.75" customHeight="1" x14ac:dyDescent="0.25">
      <c r="U204" s="1"/>
      <c r="Y204" s="62"/>
    </row>
    <row r="205" spans="21:25" ht="15.75" customHeight="1" x14ac:dyDescent="0.25">
      <c r="U205" s="1"/>
      <c r="Y205" s="62"/>
    </row>
    <row r="206" spans="21:25" ht="15.75" customHeight="1" x14ac:dyDescent="0.25">
      <c r="U206" s="1"/>
      <c r="Y206" s="62"/>
    </row>
    <row r="207" spans="21:25" ht="15.75" customHeight="1" x14ac:dyDescent="0.25">
      <c r="U207" s="1"/>
      <c r="Y207" s="62"/>
    </row>
    <row r="208" spans="21:25" ht="15.75" customHeight="1" x14ac:dyDescent="0.25">
      <c r="U208" s="1"/>
      <c r="Y208" s="62"/>
    </row>
    <row r="209" spans="21:25" ht="15.75" customHeight="1" x14ac:dyDescent="0.25">
      <c r="U209" s="1"/>
      <c r="Y209" s="62"/>
    </row>
    <row r="210" spans="21:25" ht="15.75" customHeight="1" x14ac:dyDescent="0.25">
      <c r="U210" s="1"/>
      <c r="Y210" s="62"/>
    </row>
    <row r="211" spans="21:25" ht="15.75" customHeight="1" x14ac:dyDescent="0.25">
      <c r="U211" s="1"/>
      <c r="Y211" s="62"/>
    </row>
    <row r="212" spans="21:25" ht="15.75" customHeight="1" x14ac:dyDescent="0.25">
      <c r="U212" s="1"/>
      <c r="Y212" s="62"/>
    </row>
    <row r="213" spans="21:25" ht="15.75" customHeight="1" x14ac:dyDescent="0.25">
      <c r="U213" s="1"/>
      <c r="Y213" s="62"/>
    </row>
    <row r="214" spans="21:25" ht="15.75" customHeight="1" x14ac:dyDescent="0.25">
      <c r="U214" s="1"/>
      <c r="Y214" s="62"/>
    </row>
    <row r="215" spans="21:25" ht="15.75" customHeight="1" x14ac:dyDescent="0.25">
      <c r="U215" s="1"/>
      <c r="Y215" s="62"/>
    </row>
    <row r="216" spans="21:25" ht="15.75" customHeight="1" x14ac:dyDescent="0.25">
      <c r="U216" s="1"/>
      <c r="Y216" s="62"/>
    </row>
    <row r="217" spans="21:25" ht="15.75" customHeight="1" x14ac:dyDescent="0.25">
      <c r="U217" s="1"/>
      <c r="Y217" s="62"/>
    </row>
    <row r="218" spans="21:25" ht="15.75" customHeight="1" x14ac:dyDescent="0.25">
      <c r="U218" s="1"/>
      <c r="Y218" s="62"/>
    </row>
    <row r="219" spans="21:25" ht="15.75" customHeight="1" x14ac:dyDescent="0.25">
      <c r="U219" s="1"/>
      <c r="Y219" s="62"/>
    </row>
    <row r="220" spans="21:25" ht="15.75" customHeight="1" x14ac:dyDescent="0.25">
      <c r="U220" s="1"/>
      <c r="Y220" s="62"/>
    </row>
    <row r="221" spans="21:25" ht="15.75" customHeight="1" x14ac:dyDescent="0.25">
      <c r="U221" s="1"/>
      <c r="Y221" s="62"/>
    </row>
    <row r="222" spans="21:25" ht="15.75" customHeight="1" x14ac:dyDescent="0.25">
      <c r="U222" s="1"/>
      <c r="Y222" s="62"/>
    </row>
    <row r="223" spans="21:25" ht="15.75" customHeight="1" x14ac:dyDescent="0.25">
      <c r="U223" s="1"/>
      <c r="Y223" s="62"/>
    </row>
    <row r="224" spans="21:25" ht="15.75" customHeight="1" x14ac:dyDescent="0.25">
      <c r="U224" s="1"/>
      <c r="Y224" s="62"/>
    </row>
    <row r="225" spans="21:25" ht="15.75" customHeight="1" x14ac:dyDescent="0.25">
      <c r="U225" s="1"/>
      <c r="Y225" s="62"/>
    </row>
    <row r="226" spans="21:25" ht="15.75" customHeight="1" x14ac:dyDescent="0.25">
      <c r="U226" s="1"/>
      <c r="Y226" s="62"/>
    </row>
    <row r="227" spans="21:25" ht="15.75" customHeight="1" x14ac:dyDescent="0.25">
      <c r="U227" s="1"/>
      <c r="Y227" s="62"/>
    </row>
    <row r="228" spans="21:25" ht="15.75" customHeight="1" x14ac:dyDescent="0.25">
      <c r="U228" s="1"/>
      <c r="Y228" s="62"/>
    </row>
    <row r="229" spans="21:25" ht="15.75" customHeight="1" x14ac:dyDescent="0.25">
      <c r="U229" s="1"/>
      <c r="Y229" s="62"/>
    </row>
    <row r="230" spans="21:25" ht="15.75" customHeight="1" x14ac:dyDescent="0.25">
      <c r="U230" s="1"/>
      <c r="Y230" s="62"/>
    </row>
    <row r="231" spans="21:25" ht="15.75" customHeight="1" x14ac:dyDescent="0.25">
      <c r="U231" s="1"/>
      <c r="Y231" s="62"/>
    </row>
    <row r="232" spans="21:25" ht="15.75" customHeight="1" x14ac:dyDescent="0.25">
      <c r="U232" s="1"/>
      <c r="Y232" s="62"/>
    </row>
    <row r="233" spans="21:25" ht="15.75" customHeight="1" x14ac:dyDescent="0.25">
      <c r="U233" s="1"/>
      <c r="Y233" s="62"/>
    </row>
    <row r="234" spans="21:25" ht="15.75" customHeight="1" x14ac:dyDescent="0.25">
      <c r="U234" s="1"/>
      <c r="Y234" s="62"/>
    </row>
    <row r="235" spans="21:25" ht="15.75" customHeight="1" x14ac:dyDescent="0.25">
      <c r="U235" s="1"/>
      <c r="Y235" s="62"/>
    </row>
    <row r="236" spans="21:25" ht="15.75" customHeight="1" x14ac:dyDescent="0.25">
      <c r="U236" s="1"/>
      <c r="Y236" s="62"/>
    </row>
    <row r="237" spans="21:25" ht="15.75" customHeight="1" x14ac:dyDescent="0.25">
      <c r="U237" s="1"/>
      <c r="Y237" s="62"/>
    </row>
    <row r="238" spans="21:25" ht="15.75" customHeight="1" x14ac:dyDescent="0.25">
      <c r="U238" s="1"/>
      <c r="Y238" s="62"/>
    </row>
    <row r="239" spans="21:25" ht="15.75" customHeight="1" x14ac:dyDescent="0.25">
      <c r="U239" s="1"/>
      <c r="Y239" s="62"/>
    </row>
    <row r="240" spans="21:25" ht="15.75" customHeight="1" x14ac:dyDescent="0.25">
      <c r="U240" s="1"/>
      <c r="Y240" s="62"/>
    </row>
    <row r="241" spans="21:25" ht="15.75" customHeight="1" x14ac:dyDescent="0.25">
      <c r="U241" s="1"/>
      <c r="Y241" s="62"/>
    </row>
    <row r="242" spans="21:25" ht="15.75" customHeight="1" x14ac:dyDescent="0.25">
      <c r="U242" s="1"/>
      <c r="Y242" s="62"/>
    </row>
    <row r="243" spans="21:25" ht="15.75" customHeight="1" x14ac:dyDescent="0.25">
      <c r="U243" s="1"/>
      <c r="Y243" s="62"/>
    </row>
    <row r="244" spans="21:25" ht="15.75" customHeight="1" x14ac:dyDescent="0.25">
      <c r="U244" s="1"/>
      <c r="Y244" s="62"/>
    </row>
    <row r="245" spans="21:25" ht="15.75" customHeight="1" x14ac:dyDescent="0.25">
      <c r="U245" s="1"/>
      <c r="Y245" s="62"/>
    </row>
    <row r="246" spans="21:25" ht="15.75" customHeight="1" x14ac:dyDescent="0.25">
      <c r="U246" s="1"/>
      <c r="Y246" s="62"/>
    </row>
    <row r="247" spans="21:25" ht="15.75" customHeight="1" x14ac:dyDescent="0.25">
      <c r="U247" s="1"/>
      <c r="Y247" s="62"/>
    </row>
    <row r="248" spans="21:25" ht="15.75" customHeight="1" x14ac:dyDescent="0.25">
      <c r="U248" s="1"/>
      <c r="Y248" s="62"/>
    </row>
    <row r="249" spans="21:25" ht="15.75" customHeight="1" x14ac:dyDescent="0.25">
      <c r="U249" s="1"/>
      <c r="Y249" s="62"/>
    </row>
    <row r="250" spans="21:25" ht="15.75" customHeight="1" x14ac:dyDescent="0.25">
      <c r="U250" s="1"/>
      <c r="Y250" s="62"/>
    </row>
    <row r="251" spans="21:25" ht="15.75" customHeight="1" x14ac:dyDescent="0.25">
      <c r="U251" s="1"/>
      <c r="Y251" s="62"/>
    </row>
    <row r="252" spans="21:25" ht="15.75" customHeight="1" x14ac:dyDescent="0.25">
      <c r="U252" s="1"/>
      <c r="Y252" s="62"/>
    </row>
    <row r="253" spans="21:25" ht="15.75" customHeight="1" x14ac:dyDescent="0.25">
      <c r="U253" s="1"/>
      <c r="Y253" s="62"/>
    </row>
    <row r="254" spans="21:25" ht="15.75" customHeight="1" x14ac:dyDescent="0.25">
      <c r="U254" s="1"/>
      <c r="Y254" s="62"/>
    </row>
    <row r="255" spans="21:25" ht="15.75" customHeight="1" x14ac:dyDescent="0.25">
      <c r="U255" s="1"/>
      <c r="Y255" s="62"/>
    </row>
    <row r="256" spans="21:25" ht="15.75" customHeight="1" x14ac:dyDescent="0.25">
      <c r="U256" s="1"/>
      <c r="Y256" s="62"/>
    </row>
    <row r="257" spans="21:25" ht="15.75" customHeight="1" x14ac:dyDescent="0.25">
      <c r="U257" s="1"/>
      <c r="Y257" s="62"/>
    </row>
    <row r="258" spans="21:25" ht="15.75" customHeight="1" x14ac:dyDescent="0.25">
      <c r="U258" s="1"/>
      <c r="Y258" s="62"/>
    </row>
    <row r="259" spans="21:25" ht="15.75" customHeight="1" x14ac:dyDescent="0.25">
      <c r="U259" s="1"/>
      <c r="Y259" s="62"/>
    </row>
    <row r="260" spans="21:25" ht="15.75" customHeight="1" x14ac:dyDescent="0.25">
      <c r="U260" s="1"/>
      <c r="Y260" s="62"/>
    </row>
    <row r="261" spans="21:25" ht="15.75" customHeight="1" x14ac:dyDescent="0.25">
      <c r="U261" s="1"/>
      <c r="Y261" s="62"/>
    </row>
    <row r="262" spans="21:25" ht="15.75" customHeight="1" x14ac:dyDescent="0.25">
      <c r="U262" s="1"/>
      <c r="Y262" s="62"/>
    </row>
    <row r="263" spans="21:25" ht="15.75" customHeight="1" x14ac:dyDescent="0.25">
      <c r="U263" s="1"/>
      <c r="Y263" s="62"/>
    </row>
    <row r="264" spans="21:25" ht="15.75" customHeight="1" x14ac:dyDescent="0.25">
      <c r="U264" s="1"/>
      <c r="Y264" s="62"/>
    </row>
    <row r="265" spans="21:25" ht="15.75" customHeight="1" x14ac:dyDescent="0.25">
      <c r="U265" s="1"/>
      <c r="Y265" s="62"/>
    </row>
    <row r="266" spans="21:25" ht="15.75" customHeight="1" x14ac:dyDescent="0.25">
      <c r="U266" s="1"/>
      <c r="Y266" s="62"/>
    </row>
    <row r="267" spans="21:25" ht="15.75" customHeight="1" x14ac:dyDescent="0.25">
      <c r="U267" s="1"/>
      <c r="Y267" s="62"/>
    </row>
    <row r="268" spans="21:25" ht="15.75" customHeight="1" x14ac:dyDescent="0.25">
      <c r="U268" s="1"/>
      <c r="Y268" s="62"/>
    </row>
    <row r="269" spans="21:25" ht="15.75" customHeight="1" x14ac:dyDescent="0.25">
      <c r="U269" s="1"/>
      <c r="Y269" s="62"/>
    </row>
    <row r="270" spans="21:25" ht="15.75" customHeight="1" x14ac:dyDescent="0.25">
      <c r="U270" s="1"/>
      <c r="Y270" s="62"/>
    </row>
    <row r="271" spans="21:25" ht="15.75" customHeight="1" x14ac:dyDescent="0.25">
      <c r="U271" s="1"/>
      <c r="Y271" s="62"/>
    </row>
    <row r="272" spans="21:25" ht="15.75" customHeight="1" x14ac:dyDescent="0.25">
      <c r="U272" s="1"/>
      <c r="Y272" s="62"/>
    </row>
    <row r="273" spans="21:25" ht="15.75" customHeight="1" x14ac:dyDescent="0.25">
      <c r="U273" s="1"/>
      <c r="Y273" s="62"/>
    </row>
    <row r="274" spans="21:25" ht="15.75" customHeight="1" x14ac:dyDescent="0.25">
      <c r="U274" s="1"/>
      <c r="Y274" s="62"/>
    </row>
    <row r="275" spans="21:25" ht="15.75" customHeight="1" x14ac:dyDescent="0.25">
      <c r="U275" s="1"/>
      <c r="Y275" s="62"/>
    </row>
    <row r="276" spans="21:25" ht="15.75" customHeight="1" x14ac:dyDescent="0.25">
      <c r="U276" s="1"/>
      <c r="Y276" s="62"/>
    </row>
    <row r="277" spans="21:25" ht="15.75" customHeight="1" x14ac:dyDescent="0.25">
      <c r="U277" s="1"/>
      <c r="Y277" s="62"/>
    </row>
    <row r="278" spans="21:25" ht="15.75" customHeight="1" x14ac:dyDescent="0.25">
      <c r="U278" s="1"/>
      <c r="Y278" s="62"/>
    </row>
    <row r="279" spans="21:25" ht="15.75" customHeight="1" x14ac:dyDescent="0.25">
      <c r="U279" s="1"/>
      <c r="Y279" s="62"/>
    </row>
    <row r="280" spans="21:25" ht="15.75" customHeight="1" x14ac:dyDescent="0.25">
      <c r="U280" s="1"/>
      <c r="Y280" s="62"/>
    </row>
    <row r="281" spans="21:25" ht="15.75" customHeight="1" x14ac:dyDescent="0.25">
      <c r="U281" s="1"/>
      <c r="Y281" s="62"/>
    </row>
    <row r="282" spans="21:25" ht="15.75" customHeight="1" x14ac:dyDescent="0.25">
      <c r="U282" s="1"/>
      <c r="Y282" s="62"/>
    </row>
    <row r="283" spans="21:25" ht="15.75" customHeight="1" x14ac:dyDescent="0.25">
      <c r="U283" s="1"/>
      <c r="Y283" s="62"/>
    </row>
    <row r="284" spans="21:25" ht="15.75" customHeight="1" x14ac:dyDescent="0.25">
      <c r="U284" s="1"/>
      <c r="Y284" s="62"/>
    </row>
    <row r="285" spans="21:25" ht="15.75" customHeight="1" x14ac:dyDescent="0.25">
      <c r="U285" s="1"/>
      <c r="Y285" s="62"/>
    </row>
    <row r="286" spans="21:25" ht="15.75" customHeight="1" x14ac:dyDescent="0.25">
      <c r="U286" s="1"/>
      <c r="Y286" s="62"/>
    </row>
    <row r="287" spans="21:25" ht="15.75" customHeight="1" x14ac:dyDescent="0.25">
      <c r="U287" s="1"/>
      <c r="Y287" s="62"/>
    </row>
    <row r="288" spans="21:25" ht="15.75" customHeight="1" x14ac:dyDescent="0.25">
      <c r="U288" s="1"/>
      <c r="Y288" s="62"/>
    </row>
    <row r="289" spans="21:25" ht="15.75" customHeight="1" x14ac:dyDescent="0.25">
      <c r="U289" s="1"/>
      <c r="Y289" s="62"/>
    </row>
    <row r="290" spans="21:25" ht="15.75" customHeight="1" x14ac:dyDescent="0.25">
      <c r="U290" s="1"/>
      <c r="Y290" s="62"/>
    </row>
    <row r="291" spans="21:25" ht="15.75" customHeight="1" x14ac:dyDescent="0.25">
      <c r="U291" s="1"/>
      <c r="Y291" s="62"/>
    </row>
    <row r="292" spans="21:25" ht="15.75" customHeight="1" x14ac:dyDescent="0.25">
      <c r="U292" s="1"/>
      <c r="Y292" s="62"/>
    </row>
    <row r="293" spans="21:25" ht="15.75" customHeight="1" x14ac:dyDescent="0.25">
      <c r="U293" s="1"/>
      <c r="Y293" s="62"/>
    </row>
    <row r="294" spans="21:25" ht="15.75" customHeight="1" x14ac:dyDescent="0.25">
      <c r="U294" s="1"/>
      <c r="Y294" s="62"/>
    </row>
    <row r="295" spans="21:25" ht="15.75" customHeight="1" x14ac:dyDescent="0.25">
      <c r="U295" s="1"/>
      <c r="Y295" s="62"/>
    </row>
    <row r="296" spans="21:25" ht="15.75" customHeight="1" x14ac:dyDescent="0.25">
      <c r="U296" s="1"/>
      <c r="Y296" s="62"/>
    </row>
    <row r="297" spans="21:25" ht="15.75" customHeight="1" x14ac:dyDescent="0.25">
      <c r="U297" s="1"/>
      <c r="Y297" s="62"/>
    </row>
    <row r="298" spans="21:25" ht="15.75" customHeight="1" x14ac:dyDescent="0.25">
      <c r="U298" s="1"/>
      <c r="Y298" s="62"/>
    </row>
    <row r="299" spans="21:25" ht="15.75" customHeight="1" x14ac:dyDescent="0.25">
      <c r="U299" s="1"/>
      <c r="Y299" s="62"/>
    </row>
    <row r="300" spans="21:25" ht="15.75" customHeight="1" x14ac:dyDescent="0.25">
      <c r="U300" s="1"/>
      <c r="Y300" s="62"/>
    </row>
    <row r="301" spans="21:25" ht="15.75" customHeight="1" x14ac:dyDescent="0.25">
      <c r="U301" s="1"/>
      <c r="Y301" s="62"/>
    </row>
    <row r="302" spans="21:25" ht="15.75" customHeight="1" x14ac:dyDescent="0.25">
      <c r="U302" s="1"/>
      <c r="Y302" s="62"/>
    </row>
    <row r="303" spans="21:25" ht="15.75" customHeight="1" x14ac:dyDescent="0.25">
      <c r="U303" s="1"/>
      <c r="Y303" s="62"/>
    </row>
    <row r="304" spans="21:25" ht="15.75" customHeight="1" x14ac:dyDescent="0.25">
      <c r="U304" s="1"/>
      <c r="Y304" s="62"/>
    </row>
    <row r="305" spans="21:25" ht="15.75" customHeight="1" x14ac:dyDescent="0.25">
      <c r="U305" s="1"/>
      <c r="Y305" s="62"/>
    </row>
    <row r="306" spans="21:25" ht="15.75" customHeight="1" x14ac:dyDescent="0.25">
      <c r="U306" s="1"/>
      <c r="Y306" s="62"/>
    </row>
    <row r="307" spans="21:25" ht="15.75" customHeight="1" x14ac:dyDescent="0.25">
      <c r="U307" s="1"/>
      <c r="Y307" s="62"/>
    </row>
    <row r="308" spans="21:25" ht="15.75" customHeight="1" x14ac:dyDescent="0.25">
      <c r="U308" s="1"/>
      <c r="Y308" s="62"/>
    </row>
    <row r="309" spans="21:25" ht="15.75" customHeight="1" x14ac:dyDescent="0.25">
      <c r="U309" s="1"/>
      <c r="Y309" s="62"/>
    </row>
    <row r="310" spans="21:25" ht="15.75" customHeight="1" x14ac:dyDescent="0.25">
      <c r="U310" s="1"/>
      <c r="Y310" s="62"/>
    </row>
    <row r="311" spans="21:25" ht="15.75" customHeight="1" x14ac:dyDescent="0.25">
      <c r="U311" s="1"/>
      <c r="Y311" s="62"/>
    </row>
    <row r="312" spans="21:25" ht="15.75" customHeight="1" x14ac:dyDescent="0.25">
      <c r="U312" s="1"/>
      <c r="Y312" s="62"/>
    </row>
    <row r="313" spans="21:25" ht="15.75" customHeight="1" x14ac:dyDescent="0.25">
      <c r="U313" s="1"/>
      <c r="Y313" s="62"/>
    </row>
    <row r="314" spans="21:25" ht="15.75" customHeight="1" x14ac:dyDescent="0.25">
      <c r="U314" s="1"/>
      <c r="Y314" s="62"/>
    </row>
    <row r="315" spans="21:25" ht="15.75" customHeight="1" x14ac:dyDescent="0.25">
      <c r="U315" s="1"/>
      <c r="Y315" s="62"/>
    </row>
    <row r="316" spans="21:25" ht="15.75" customHeight="1" x14ac:dyDescent="0.25">
      <c r="U316" s="1"/>
      <c r="Y316" s="62"/>
    </row>
    <row r="317" spans="21:25" ht="15.75" customHeight="1" x14ac:dyDescent="0.25">
      <c r="U317" s="1"/>
      <c r="Y317" s="62"/>
    </row>
    <row r="318" spans="21:25" ht="15.75" customHeight="1" x14ac:dyDescent="0.25">
      <c r="U318" s="1"/>
      <c r="Y318" s="62"/>
    </row>
    <row r="319" spans="21:25" ht="15.75" customHeight="1" x14ac:dyDescent="0.25">
      <c r="U319" s="1"/>
      <c r="Y319" s="62"/>
    </row>
    <row r="320" spans="21:25" ht="15.75" customHeight="1" x14ac:dyDescent="0.25">
      <c r="U320" s="1"/>
      <c r="Y320" s="62"/>
    </row>
    <row r="321" spans="21:25" ht="15.75" customHeight="1" x14ac:dyDescent="0.25">
      <c r="U321" s="1"/>
      <c r="Y321" s="62"/>
    </row>
    <row r="322" spans="21:25" ht="15.75" customHeight="1" x14ac:dyDescent="0.25">
      <c r="U322" s="1"/>
      <c r="Y322" s="62"/>
    </row>
    <row r="323" spans="21:25" ht="15.75" customHeight="1" x14ac:dyDescent="0.25">
      <c r="U323" s="1"/>
      <c r="Y323" s="62"/>
    </row>
    <row r="324" spans="21:25" ht="15.75" customHeight="1" x14ac:dyDescent="0.25">
      <c r="U324" s="1"/>
      <c r="Y324" s="62"/>
    </row>
    <row r="325" spans="21:25" ht="15.75" customHeight="1" x14ac:dyDescent="0.25">
      <c r="U325" s="1"/>
      <c r="Y325" s="62"/>
    </row>
    <row r="326" spans="21:25" ht="15.75" customHeight="1" x14ac:dyDescent="0.25">
      <c r="U326" s="1"/>
      <c r="Y326" s="62"/>
    </row>
    <row r="327" spans="21:25" ht="15.75" customHeight="1" x14ac:dyDescent="0.25">
      <c r="U327" s="1"/>
      <c r="Y327" s="62"/>
    </row>
    <row r="328" spans="21:25" ht="15.75" customHeight="1" x14ac:dyDescent="0.25">
      <c r="U328" s="1"/>
      <c r="Y328" s="62"/>
    </row>
    <row r="329" spans="21:25" ht="15.75" customHeight="1" x14ac:dyDescent="0.25">
      <c r="U329" s="1"/>
      <c r="Y329" s="62"/>
    </row>
    <row r="330" spans="21:25" ht="15.75" customHeight="1" x14ac:dyDescent="0.25">
      <c r="U330" s="1"/>
      <c r="Y330" s="62"/>
    </row>
    <row r="331" spans="21:25" ht="15.75" customHeight="1" x14ac:dyDescent="0.25">
      <c r="U331" s="1"/>
      <c r="Y331" s="62"/>
    </row>
    <row r="332" spans="21:25" ht="15.75" customHeight="1" x14ac:dyDescent="0.25">
      <c r="U332" s="1"/>
      <c r="Y332" s="62"/>
    </row>
    <row r="333" spans="21:25" ht="15.75" customHeight="1" x14ac:dyDescent="0.25">
      <c r="U333" s="1"/>
      <c r="Y333" s="62"/>
    </row>
    <row r="334" spans="21:25" ht="15.75" customHeight="1" x14ac:dyDescent="0.25">
      <c r="U334" s="1"/>
      <c r="Y334" s="62"/>
    </row>
    <row r="335" spans="21:25" ht="15.75" customHeight="1" x14ac:dyDescent="0.25">
      <c r="U335" s="1"/>
      <c r="Y335" s="62"/>
    </row>
    <row r="336" spans="21:25" ht="15.75" customHeight="1" x14ac:dyDescent="0.25">
      <c r="U336" s="1"/>
      <c r="Y336" s="62"/>
    </row>
    <row r="337" spans="21:25" ht="15.75" customHeight="1" x14ac:dyDescent="0.25">
      <c r="U337" s="1"/>
      <c r="Y337" s="62"/>
    </row>
    <row r="338" spans="21:25" ht="15.75" customHeight="1" x14ac:dyDescent="0.25">
      <c r="U338" s="1"/>
      <c r="Y338" s="62"/>
    </row>
    <row r="339" spans="21:25" ht="15.75" customHeight="1" x14ac:dyDescent="0.25">
      <c r="U339" s="1"/>
      <c r="Y339" s="62"/>
    </row>
    <row r="340" spans="21:25" ht="15.75" customHeight="1" x14ac:dyDescent="0.25">
      <c r="U340" s="1"/>
      <c r="Y340" s="62"/>
    </row>
    <row r="341" spans="21:25" ht="15.75" customHeight="1" x14ac:dyDescent="0.25">
      <c r="U341" s="1"/>
      <c r="Y341" s="62"/>
    </row>
    <row r="342" spans="21:25" ht="15.75" customHeight="1" x14ac:dyDescent="0.25">
      <c r="U342" s="1"/>
      <c r="Y342" s="62"/>
    </row>
    <row r="343" spans="21:25" ht="15.75" customHeight="1" x14ac:dyDescent="0.25">
      <c r="U343" s="1"/>
      <c r="Y343" s="62"/>
    </row>
    <row r="344" spans="21:25" ht="15.75" customHeight="1" x14ac:dyDescent="0.25">
      <c r="U344" s="1"/>
      <c r="Y344" s="62"/>
    </row>
    <row r="345" spans="21:25" ht="15.75" customHeight="1" x14ac:dyDescent="0.25">
      <c r="U345" s="1"/>
      <c r="Y345" s="62"/>
    </row>
    <row r="346" spans="21:25" ht="15.75" customHeight="1" x14ac:dyDescent="0.25">
      <c r="U346" s="1"/>
      <c r="Y346" s="62"/>
    </row>
    <row r="347" spans="21:25" ht="15.75" customHeight="1" x14ac:dyDescent="0.25">
      <c r="U347" s="1"/>
      <c r="Y347" s="62"/>
    </row>
    <row r="348" spans="21:25" ht="15.75" customHeight="1" x14ac:dyDescent="0.25">
      <c r="U348" s="1"/>
      <c r="Y348" s="62"/>
    </row>
    <row r="349" spans="21:25" ht="15.75" customHeight="1" x14ac:dyDescent="0.25">
      <c r="U349" s="1"/>
      <c r="Y349" s="62"/>
    </row>
    <row r="350" spans="21:25" ht="15.75" customHeight="1" x14ac:dyDescent="0.25">
      <c r="U350" s="1"/>
      <c r="Y350" s="62"/>
    </row>
    <row r="351" spans="21:25" ht="15.75" customHeight="1" x14ac:dyDescent="0.25">
      <c r="U351" s="1"/>
      <c r="Y351" s="62"/>
    </row>
    <row r="352" spans="21:25" ht="15.75" customHeight="1" x14ac:dyDescent="0.25">
      <c r="U352" s="1"/>
      <c r="Y352" s="62"/>
    </row>
    <row r="353" spans="21:25" ht="15.75" customHeight="1" x14ac:dyDescent="0.25">
      <c r="U353" s="1"/>
      <c r="Y353" s="62"/>
    </row>
    <row r="354" spans="21:25" ht="15.75" customHeight="1" x14ac:dyDescent="0.25">
      <c r="U354" s="1"/>
      <c r="Y354" s="62"/>
    </row>
    <row r="355" spans="21:25" ht="15.75" customHeight="1" x14ac:dyDescent="0.25">
      <c r="U355" s="1"/>
      <c r="Y355" s="62"/>
    </row>
    <row r="356" spans="21:25" ht="15.75" customHeight="1" x14ac:dyDescent="0.25">
      <c r="U356" s="1"/>
      <c r="Y356" s="62"/>
    </row>
    <row r="357" spans="21:25" ht="15.75" customHeight="1" x14ac:dyDescent="0.25">
      <c r="U357" s="1"/>
      <c r="Y357" s="62"/>
    </row>
    <row r="358" spans="21:25" ht="15.75" customHeight="1" x14ac:dyDescent="0.25">
      <c r="U358" s="1"/>
      <c r="Y358" s="62"/>
    </row>
    <row r="359" spans="21:25" ht="15.75" customHeight="1" x14ac:dyDescent="0.25">
      <c r="U359" s="1"/>
      <c r="Y359" s="62"/>
    </row>
    <row r="360" spans="21:25" ht="15.75" customHeight="1" x14ac:dyDescent="0.25">
      <c r="U360" s="1"/>
      <c r="Y360" s="62"/>
    </row>
    <row r="361" spans="21:25" ht="15.75" customHeight="1" x14ac:dyDescent="0.25">
      <c r="U361" s="1"/>
      <c r="Y361" s="62"/>
    </row>
    <row r="362" spans="21:25" ht="15.75" customHeight="1" x14ac:dyDescent="0.25">
      <c r="U362" s="1"/>
      <c r="Y362" s="62"/>
    </row>
    <row r="363" spans="21:25" ht="15.75" customHeight="1" x14ac:dyDescent="0.25">
      <c r="U363" s="1"/>
      <c r="Y363" s="62"/>
    </row>
    <row r="364" spans="21:25" ht="15.75" customHeight="1" x14ac:dyDescent="0.25">
      <c r="U364" s="1"/>
      <c r="Y364" s="62"/>
    </row>
    <row r="365" spans="21:25" ht="15.75" customHeight="1" x14ac:dyDescent="0.25">
      <c r="U365" s="1"/>
      <c r="Y365" s="62"/>
    </row>
    <row r="366" spans="21:25" ht="15.75" customHeight="1" x14ac:dyDescent="0.25">
      <c r="U366" s="1"/>
      <c r="Y366" s="62"/>
    </row>
    <row r="367" spans="21:25" ht="15.75" customHeight="1" x14ac:dyDescent="0.25">
      <c r="U367" s="1"/>
      <c r="Y367" s="62"/>
    </row>
    <row r="368" spans="21:25" ht="15.75" customHeight="1" x14ac:dyDescent="0.25">
      <c r="U368" s="1"/>
      <c r="Y368" s="62"/>
    </row>
    <row r="369" spans="21:25" ht="15.75" customHeight="1" x14ac:dyDescent="0.25">
      <c r="U369" s="1"/>
      <c r="Y369" s="62"/>
    </row>
    <row r="370" spans="21:25" ht="15.75" customHeight="1" x14ac:dyDescent="0.25">
      <c r="U370" s="1"/>
      <c r="Y370" s="62"/>
    </row>
    <row r="371" spans="21:25" ht="15.75" customHeight="1" x14ac:dyDescent="0.25">
      <c r="U371" s="1"/>
      <c r="Y371" s="62"/>
    </row>
    <row r="372" spans="21:25" ht="15.75" customHeight="1" x14ac:dyDescent="0.25">
      <c r="U372" s="1"/>
      <c r="Y372" s="62"/>
    </row>
    <row r="373" spans="21:25" ht="15.75" customHeight="1" x14ac:dyDescent="0.25">
      <c r="U373" s="1"/>
      <c r="Y373" s="62"/>
    </row>
    <row r="374" spans="21:25" ht="15.75" customHeight="1" x14ac:dyDescent="0.25">
      <c r="U374" s="1"/>
      <c r="Y374" s="62"/>
    </row>
    <row r="375" spans="21:25" ht="15.75" customHeight="1" x14ac:dyDescent="0.25">
      <c r="U375" s="1"/>
      <c r="Y375" s="62"/>
    </row>
    <row r="376" spans="21:25" ht="15.75" customHeight="1" x14ac:dyDescent="0.25">
      <c r="U376" s="1"/>
      <c r="Y376" s="62"/>
    </row>
    <row r="377" spans="21:25" ht="15.75" customHeight="1" x14ac:dyDescent="0.25">
      <c r="U377" s="1"/>
      <c r="Y377" s="62"/>
    </row>
    <row r="378" spans="21:25" ht="15.75" customHeight="1" x14ac:dyDescent="0.25">
      <c r="U378" s="1"/>
      <c r="Y378" s="62"/>
    </row>
    <row r="379" spans="21:25" ht="15.75" customHeight="1" x14ac:dyDescent="0.25">
      <c r="U379" s="1"/>
      <c r="Y379" s="62"/>
    </row>
    <row r="380" spans="21:25" ht="15.75" customHeight="1" x14ac:dyDescent="0.25">
      <c r="U380" s="1"/>
      <c r="Y380" s="62"/>
    </row>
    <row r="381" spans="21:25" ht="15.75" customHeight="1" x14ac:dyDescent="0.25">
      <c r="U381" s="1"/>
      <c r="Y381" s="62"/>
    </row>
    <row r="382" spans="21:25" ht="15.75" customHeight="1" x14ac:dyDescent="0.25">
      <c r="U382" s="1"/>
      <c r="Y382" s="62"/>
    </row>
    <row r="383" spans="21:25" ht="15.75" customHeight="1" x14ac:dyDescent="0.25">
      <c r="U383" s="1"/>
      <c r="Y383" s="62"/>
    </row>
    <row r="384" spans="21:25" ht="15.75" customHeight="1" x14ac:dyDescent="0.25">
      <c r="U384" s="1"/>
      <c r="Y384" s="62"/>
    </row>
    <row r="385" spans="21:25" ht="15.75" customHeight="1" x14ac:dyDescent="0.25">
      <c r="U385" s="1"/>
      <c r="Y385" s="62"/>
    </row>
    <row r="386" spans="21:25" ht="15.75" customHeight="1" x14ac:dyDescent="0.25">
      <c r="U386" s="1"/>
      <c r="Y386" s="62"/>
    </row>
    <row r="387" spans="21:25" ht="15.75" customHeight="1" x14ac:dyDescent="0.25">
      <c r="U387" s="1"/>
      <c r="Y387" s="62"/>
    </row>
    <row r="388" spans="21:25" ht="15.75" customHeight="1" x14ac:dyDescent="0.25">
      <c r="U388" s="1"/>
      <c r="Y388" s="62"/>
    </row>
    <row r="389" spans="21:25" ht="15.75" customHeight="1" x14ac:dyDescent="0.25">
      <c r="U389" s="1"/>
      <c r="Y389" s="62"/>
    </row>
    <row r="390" spans="21:25" ht="15.75" customHeight="1" x14ac:dyDescent="0.25">
      <c r="U390" s="1"/>
      <c r="Y390" s="62"/>
    </row>
    <row r="391" spans="21:25" ht="15.75" customHeight="1" x14ac:dyDescent="0.25">
      <c r="U391" s="1"/>
      <c r="Y391" s="62"/>
    </row>
    <row r="392" spans="21:25" ht="15.75" customHeight="1" x14ac:dyDescent="0.25">
      <c r="U392" s="1"/>
      <c r="Y392" s="62"/>
    </row>
    <row r="393" spans="21:25" ht="15.75" customHeight="1" x14ac:dyDescent="0.25">
      <c r="U393" s="1"/>
      <c r="Y393" s="62"/>
    </row>
    <row r="394" spans="21:25" ht="15.75" customHeight="1" x14ac:dyDescent="0.25">
      <c r="U394" s="1"/>
      <c r="Y394" s="62"/>
    </row>
    <row r="395" spans="21:25" ht="15.75" customHeight="1" x14ac:dyDescent="0.25">
      <c r="U395" s="1"/>
      <c r="Y395" s="62"/>
    </row>
    <row r="396" spans="21:25" ht="15.75" customHeight="1" x14ac:dyDescent="0.25">
      <c r="U396" s="1"/>
      <c r="Y396" s="62"/>
    </row>
    <row r="397" spans="21:25" ht="15.75" customHeight="1" x14ac:dyDescent="0.25">
      <c r="U397" s="1"/>
      <c r="Y397" s="62"/>
    </row>
    <row r="398" spans="21:25" ht="15.75" customHeight="1" x14ac:dyDescent="0.25">
      <c r="U398" s="1"/>
      <c r="Y398" s="62"/>
    </row>
    <row r="399" spans="21:25" ht="15.75" customHeight="1" x14ac:dyDescent="0.25">
      <c r="U399" s="1"/>
      <c r="Y399" s="62"/>
    </row>
    <row r="400" spans="21:25" ht="15.75" customHeight="1" x14ac:dyDescent="0.25">
      <c r="U400" s="1"/>
      <c r="Y400" s="62"/>
    </row>
    <row r="401" spans="21:25" ht="15.75" customHeight="1" x14ac:dyDescent="0.25">
      <c r="U401" s="1"/>
      <c r="Y401" s="62"/>
    </row>
    <row r="402" spans="21:25" ht="15.75" customHeight="1" x14ac:dyDescent="0.25">
      <c r="U402" s="1"/>
      <c r="Y402" s="62"/>
    </row>
    <row r="403" spans="21:25" ht="15.75" customHeight="1" x14ac:dyDescent="0.25">
      <c r="U403" s="1"/>
      <c r="Y403" s="62"/>
    </row>
    <row r="404" spans="21:25" ht="15.75" customHeight="1" x14ac:dyDescent="0.25">
      <c r="U404" s="1"/>
      <c r="Y404" s="62"/>
    </row>
    <row r="405" spans="21:25" ht="15.75" customHeight="1" x14ac:dyDescent="0.25">
      <c r="U405" s="1"/>
      <c r="Y405" s="62"/>
    </row>
    <row r="406" spans="21:25" ht="15.75" customHeight="1" x14ac:dyDescent="0.25">
      <c r="U406" s="1"/>
      <c r="Y406" s="62"/>
    </row>
    <row r="407" spans="21:25" ht="15.75" customHeight="1" x14ac:dyDescent="0.25">
      <c r="U407" s="1"/>
      <c r="Y407" s="62"/>
    </row>
    <row r="408" spans="21:25" ht="15.75" customHeight="1" x14ac:dyDescent="0.25">
      <c r="U408" s="1"/>
      <c r="Y408" s="62"/>
    </row>
    <row r="409" spans="21:25" ht="15.75" customHeight="1" x14ac:dyDescent="0.25">
      <c r="U409" s="1"/>
      <c r="Y409" s="62"/>
    </row>
    <row r="410" spans="21:25" ht="15.75" customHeight="1" x14ac:dyDescent="0.25">
      <c r="U410" s="1"/>
      <c r="Y410" s="62"/>
    </row>
    <row r="411" spans="21:25" ht="15.75" customHeight="1" x14ac:dyDescent="0.25">
      <c r="U411" s="1"/>
      <c r="Y411" s="62"/>
    </row>
    <row r="412" spans="21:25" ht="15.75" customHeight="1" x14ac:dyDescent="0.25">
      <c r="U412" s="1"/>
      <c r="Y412" s="62"/>
    </row>
    <row r="413" spans="21:25" ht="15.75" customHeight="1" x14ac:dyDescent="0.25">
      <c r="U413" s="1"/>
      <c r="Y413" s="62"/>
    </row>
    <row r="414" spans="21:25" ht="15.75" customHeight="1" x14ac:dyDescent="0.25">
      <c r="U414" s="1"/>
      <c r="Y414" s="62"/>
    </row>
    <row r="415" spans="21:25" ht="15.75" customHeight="1" x14ac:dyDescent="0.25">
      <c r="U415" s="1"/>
      <c r="Y415" s="62"/>
    </row>
    <row r="416" spans="21:25" ht="15.75" customHeight="1" x14ac:dyDescent="0.25">
      <c r="U416" s="1"/>
      <c r="Y416" s="62"/>
    </row>
    <row r="417" spans="21:25" ht="15.75" customHeight="1" x14ac:dyDescent="0.25">
      <c r="U417" s="1"/>
      <c r="Y417" s="62"/>
    </row>
    <row r="418" spans="21:25" ht="15.75" customHeight="1" x14ac:dyDescent="0.25">
      <c r="U418" s="1"/>
      <c r="Y418" s="62"/>
    </row>
    <row r="419" spans="21:25" ht="15.75" customHeight="1" x14ac:dyDescent="0.25">
      <c r="U419" s="1"/>
      <c r="Y419" s="62"/>
    </row>
    <row r="420" spans="21:25" ht="15.75" customHeight="1" x14ac:dyDescent="0.25">
      <c r="U420" s="1"/>
      <c r="Y420" s="62"/>
    </row>
    <row r="421" spans="21:25" ht="15.75" customHeight="1" x14ac:dyDescent="0.25">
      <c r="U421" s="1"/>
      <c r="Y421" s="62"/>
    </row>
    <row r="422" spans="21:25" ht="15.75" customHeight="1" x14ac:dyDescent="0.25">
      <c r="U422" s="1"/>
      <c r="Y422" s="62"/>
    </row>
    <row r="423" spans="21:25" ht="15.75" customHeight="1" x14ac:dyDescent="0.25">
      <c r="U423" s="1"/>
      <c r="Y423" s="62"/>
    </row>
    <row r="424" spans="21:25" ht="15.75" customHeight="1" x14ac:dyDescent="0.25">
      <c r="U424" s="1"/>
      <c r="Y424" s="62"/>
    </row>
    <row r="425" spans="21:25" ht="15.75" customHeight="1" x14ac:dyDescent="0.25">
      <c r="U425" s="1"/>
      <c r="Y425" s="62"/>
    </row>
    <row r="426" spans="21:25" ht="15.75" customHeight="1" x14ac:dyDescent="0.25">
      <c r="U426" s="1"/>
      <c r="Y426" s="62"/>
    </row>
    <row r="427" spans="21:25" ht="15.75" customHeight="1" x14ac:dyDescent="0.25">
      <c r="U427" s="1"/>
      <c r="Y427" s="62"/>
    </row>
    <row r="428" spans="21:25" ht="15.75" customHeight="1" x14ac:dyDescent="0.25">
      <c r="U428" s="1"/>
      <c r="Y428" s="62"/>
    </row>
    <row r="429" spans="21:25" ht="15.75" customHeight="1" x14ac:dyDescent="0.25">
      <c r="U429" s="1"/>
      <c r="Y429" s="62"/>
    </row>
    <row r="430" spans="21:25" ht="15.75" customHeight="1" x14ac:dyDescent="0.25">
      <c r="U430" s="1"/>
      <c r="Y430" s="62"/>
    </row>
    <row r="431" spans="21:25" ht="15.75" customHeight="1" x14ac:dyDescent="0.25">
      <c r="U431" s="1"/>
      <c r="Y431" s="62"/>
    </row>
    <row r="432" spans="21:25" ht="15.75" customHeight="1" x14ac:dyDescent="0.25">
      <c r="U432" s="1"/>
      <c r="Y432" s="62"/>
    </row>
    <row r="433" spans="21:25" ht="15.75" customHeight="1" x14ac:dyDescent="0.25">
      <c r="U433" s="1"/>
      <c r="Y433" s="62"/>
    </row>
    <row r="434" spans="21:25" ht="15.75" customHeight="1" x14ac:dyDescent="0.25">
      <c r="U434" s="1"/>
      <c r="Y434" s="62"/>
    </row>
    <row r="435" spans="21:25" ht="15.75" customHeight="1" x14ac:dyDescent="0.25">
      <c r="U435" s="1"/>
      <c r="Y435" s="62"/>
    </row>
    <row r="436" spans="21:25" ht="15.75" customHeight="1" x14ac:dyDescent="0.25">
      <c r="U436" s="1"/>
      <c r="Y436" s="62"/>
    </row>
    <row r="437" spans="21:25" ht="15.75" customHeight="1" x14ac:dyDescent="0.25">
      <c r="U437" s="1"/>
      <c r="Y437" s="62"/>
    </row>
    <row r="438" spans="21:25" ht="15.75" customHeight="1" x14ac:dyDescent="0.25">
      <c r="U438" s="1"/>
      <c r="Y438" s="62"/>
    </row>
    <row r="439" spans="21:25" ht="15.75" customHeight="1" x14ac:dyDescent="0.25">
      <c r="U439" s="1"/>
      <c r="Y439" s="62"/>
    </row>
    <row r="440" spans="21:25" ht="15.75" customHeight="1" x14ac:dyDescent="0.25">
      <c r="U440" s="1"/>
      <c r="Y440" s="62"/>
    </row>
    <row r="441" spans="21:25" ht="15.75" customHeight="1" x14ac:dyDescent="0.25">
      <c r="U441" s="1"/>
      <c r="Y441" s="62"/>
    </row>
    <row r="442" spans="21:25" ht="15.75" customHeight="1" x14ac:dyDescent="0.25">
      <c r="U442" s="1"/>
      <c r="Y442" s="62"/>
    </row>
    <row r="443" spans="21:25" ht="15.75" customHeight="1" x14ac:dyDescent="0.25">
      <c r="U443" s="1"/>
      <c r="Y443" s="62"/>
    </row>
    <row r="444" spans="21:25" ht="15.75" customHeight="1" x14ac:dyDescent="0.25">
      <c r="U444" s="1"/>
      <c r="Y444" s="62"/>
    </row>
    <row r="445" spans="21:25" ht="15.75" customHeight="1" x14ac:dyDescent="0.25">
      <c r="U445" s="1"/>
      <c r="Y445" s="62"/>
    </row>
    <row r="446" spans="21:25" ht="15.75" customHeight="1" x14ac:dyDescent="0.25">
      <c r="U446" s="1"/>
      <c r="Y446" s="62"/>
    </row>
    <row r="447" spans="21:25" ht="15.75" customHeight="1" x14ac:dyDescent="0.25">
      <c r="U447" s="1"/>
      <c r="Y447" s="62"/>
    </row>
    <row r="448" spans="21:25" ht="15.75" customHeight="1" x14ac:dyDescent="0.25">
      <c r="U448" s="1"/>
      <c r="Y448" s="62"/>
    </row>
    <row r="449" spans="21:25" ht="15.75" customHeight="1" x14ac:dyDescent="0.25">
      <c r="U449" s="1"/>
      <c r="Y449" s="62"/>
    </row>
    <row r="450" spans="21:25" ht="15.75" customHeight="1" x14ac:dyDescent="0.25">
      <c r="U450" s="1"/>
      <c r="Y450" s="62"/>
    </row>
    <row r="451" spans="21:25" ht="15.75" customHeight="1" x14ac:dyDescent="0.25">
      <c r="U451" s="1"/>
      <c r="Y451" s="62"/>
    </row>
    <row r="452" spans="21:25" ht="15.75" customHeight="1" x14ac:dyDescent="0.25">
      <c r="U452" s="1"/>
      <c r="Y452" s="62"/>
    </row>
    <row r="453" spans="21:25" ht="15.75" customHeight="1" x14ac:dyDescent="0.25">
      <c r="U453" s="1"/>
      <c r="Y453" s="62"/>
    </row>
    <row r="454" spans="21:25" ht="15.75" customHeight="1" x14ac:dyDescent="0.25">
      <c r="U454" s="1"/>
      <c r="Y454" s="62"/>
    </row>
    <row r="455" spans="21:25" ht="15.75" customHeight="1" x14ac:dyDescent="0.25">
      <c r="U455" s="1"/>
      <c r="Y455" s="62"/>
    </row>
    <row r="456" spans="21:25" ht="15.75" customHeight="1" x14ac:dyDescent="0.25">
      <c r="U456" s="1"/>
      <c r="Y456" s="62"/>
    </row>
    <row r="457" spans="21:25" ht="15.75" customHeight="1" x14ac:dyDescent="0.25">
      <c r="U457" s="1"/>
      <c r="Y457" s="62"/>
    </row>
    <row r="458" spans="21:25" ht="15.75" customHeight="1" x14ac:dyDescent="0.25">
      <c r="U458" s="1"/>
      <c r="Y458" s="62"/>
    </row>
    <row r="459" spans="21:25" ht="15.75" customHeight="1" x14ac:dyDescent="0.25">
      <c r="U459" s="1"/>
      <c r="Y459" s="62"/>
    </row>
    <row r="460" spans="21:25" ht="15.75" customHeight="1" x14ac:dyDescent="0.25">
      <c r="U460" s="1"/>
      <c r="Y460" s="62"/>
    </row>
    <row r="461" spans="21:25" ht="15.75" customHeight="1" x14ac:dyDescent="0.25">
      <c r="U461" s="1"/>
      <c r="Y461" s="62"/>
    </row>
    <row r="462" spans="21:25" ht="15.75" customHeight="1" x14ac:dyDescent="0.25">
      <c r="U462" s="1"/>
      <c r="Y462" s="62"/>
    </row>
    <row r="463" spans="21:25" ht="15.75" customHeight="1" x14ac:dyDescent="0.25">
      <c r="U463" s="1"/>
      <c r="Y463" s="62"/>
    </row>
    <row r="464" spans="21:25" ht="15.75" customHeight="1" x14ac:dyDescent="0.25">
      <c r="U464" s="1"/>
      <c r="Y464" s="62"/>
    </row>
    <row r="465" spans="21:25" ht="15.75" customHeight="1" x14ac:dyDescent="0.25">
      <c r="U465" s="1"/>
      <c r="Y465" s="62"/>
    </row>
    <row r="466" spans="21:25" ht="15.75" customHeight="1" x14ac:dyDescent="0.25">
      <c r="U466" s="1"/>
      <c r="Y466" s="62"/>
    </row>
    <row r="467" spans="21:25" ht="15.75" customHeight="1" x14ac:dyDescent="0.25">
      <c r="U467" s="1"/>
      <c r="Y467" s="62"/>
    </row>
    <row r="468" spans="21:25" ht="15.75" customHeight="1" x14ac:dyDescent="0.25">
      <c r="U468" s="1"/>
      <c r="Y468" s="62"/>
    </row>
    <row r="469" spans="21:25" ht="15.75" customHeight="1" x14ac:dyDescent="0.25">
      <c r="U469" s="1"/>
      <c r="Y469" s="62"/>
    </row>
    <row r="470" spans="21:25" ht="15.75" customHeight="1" x14ac:dyDescent="0.25">
      <c r="U470" s="1"/>
      <c r="Y470" s="62"/>
    </row>
    <row r="471" spans="21:25" ht="15.75" customHeight="1" x14ac:dyDescent="0.25">
      <c r="U471" s="1"/>
      <c r="Y471" s="62"/>
    </row>
    <row r="472" spans="21:25" ht="15.75" customHeight="1" x14ac:dyDescent="0.25">
      <c r="U472" s="1"/>
      <c r="Y472" s="62"/>
    </row>
    <row r="473" spans="21:25" ht="15.75" customHeight="1" x14ac:dyDescent="0.25">
      <c r="U473" s="1"/>
      <c r="Y473" s="62"/>
    </row>
    <row r="474" spans="21:25" ht="15.75" customHeight="1" x14ac:dyDescent="0.25">
      <c r="U474" s="1"/>
      <c r="Y474" s="62"/>
    </row>
    <row r="475" spans="21:25" ht="15.75" customHeight="1" x14ac:dyDescent="0.25">
      <c r="U475" s="1"/>
      <c r="Y475" s="62"/>
    </row>
    <row r="476" spans="21:25" ht="15.75" customHeight="1" x14ac:dyDescent="0.25">
      <c r="U476" s="1"/>
      <c r="Y476" s="62"/>
    </row>
    <row r="477" spans="21:25" ht="15.75" customHeight="1" x14ac:dyDescent="0.25">
      <c r="U477" s="1"/>
      <c r="Y477" s="62"/>
    </row>
    <row r="478" spans="21:25" ht="15.75" customHeight="1" x14ac:dyDescent="0.25">
      <c r="U478" s="1"/>
      <c r="Y478" s="62"/>
    </row>
    <row r="479" spans="21:25" ht="15.75" customHeight="1" x14ac:dyDescent="0.25">
      <c r="U479" s="1"/>
      <c r="Y479" s="62"/>
    </row>
    <row r="480" spans="21:25" ht="15.75" customHeight="1" x14ac:dyDescent="0.25">
      <c r="U480" s="1"/>
      <c r="Y480" s="62"/>
    </row>
    <row r="481" spans="21:25" ht="15.75" customHeight="1" x14ac:dyDescent="0.25">
      <c r="U481" s="1"/>
      <c r="Y481" s="62"/>
    </row>
    <row r="482" spans="21:25" ht="15.75" customHeight="1" x14ac:dyDescent="0.25">
      <c r="U482" s="1"/>
      <c r="Y482" s="62"/>
    </row>
    <row r="483" spans="21:25" ht="15.75" customHeight="1" x14ac:dyDescent="0.25">
      <c r="U483" s="1"/>
      <c r="Y483" s="62"/>
    </row>
    <row r="484" spans="21:25" ht="15.75" customHeight="1" x14ac:dyDescent="0.25">
      <c r="U484" s="1"/>
      <c r="Y484" s="62"/>
    </row>
    <row r="485" spans="21:25" ht="15.75" customHeight="1" x14ac:dyDescent="0.25">
      <c r="U485" s="1"/>
      <c r="Y485" s="62"/>
    </row>
    <row r="486" spans="21:25" ht="15.75" customHeight="1" x14ac:dyDescent="0.25">
      <c r="U486" s="1"/>
      <c r="Y486" s="62"/>
    </row>
    <row r="487" spans="21:25" ht="15.75" customHeight="1" x14ac:dyDescent="0.25">
      <c r="U487" s="1"/>
      <c r="Y487" s="62"/>
    </row>
    <row r="488" spans="21:25" ht="15.75" customHeight="1" x14ac:dyDescent="0.25">
      <c r="U488" s="1"/>
      <c r="Y488" s="62"/>
    </row>
    <row r="489" spans="21:25" ht="15.75" customHeight="1" x14ac:dyDescent="0.25">
      <c r="U489" s="1"/>
      <c r="Y489" s="62"/>
    </row>
    <row r="490" spans="21:25" ht="15.75" customHeight="1" x14ac:dyDescent="0.25">
      <c r="U490" s="1"/>
      <c r="Y490" s="62"/>
    </row>
    <row r="491" spans="21:25" ht="15.75" customHeight="1" x14ac:dyDescent="0.25">
      <c r="U491" s="1"/>
      <c r="Y491" s="62"/>
    </row>
    <row r="492" spans="21:25" ht="15.75" customHeight="1" x14ac:dyDescent="0.25">
      <c r="U492" s="1"/>
      <c r="Y492" s="62"/>
    </row>
    <row r="493" spans="21:25" ht="15.75" customHeight="1" x14ac:dyDescent="0.25">
      <c r="U493" s="1"/>
      <c r="Y493" s="62"/>
    </row>
    <row r="494" spans="21:25" ht="15.75" customHeight="1" x14ac:dyDescent="0.25">
      <c r="U494" s="1"/>
      <c r="Y494" s="62"/>
    </row>
    <row r="495" spans="21:25" ht="15.75" customHeight="1" x14ac:dyDescent="0.25">
      <c r="U495" s="1"/>
      <c r="Y495" s="62"/>
    </row>
    <row r="496" spans="21:25" ht="15.75" customHeight="1" x14ac:dyDescent="0.25">
      <c r="U496" s="1"/>
      <c r="Y496" s="62"/>
    </row>
    <row r="497" spans="21:25" ht="15.75" customHeight="1" x14ac:dyDescent="0.25">
      <c r="U497" s="1"/>
      <c r="Y497" s="62"/>
    </row>
    <row r="498" spans="21:25" ht="15.75" customHeight="1" x14ac:dyDescent="0.25">
      <c r="U498" s="1"/>
      <c r="Y498" s="62"/>
    </row>
    <row r="499" spans="21:25" ht="15.75" customHeight="1" x14ac:dyDescent="0.25">
      <c r="U499" s="1"/>
      <c r="Y499" s="62"/>
    </row>
    <row r="500" spans="21:25" ht="15.75" customHeight="1" x14ac:dyDescent="0.25">
      <c r="U500" s="1"/>
      <c r="Y500" s="62"/>
    </row>
    <row r="501" spans="21:25" ht="15.75" customHeight="1" x14ac:dyDescent="0.25">
      <c r="U501" s="1"/>
      <c r="Y501" s="62"/>
    </row>
    <row r="502" spans="21:25" ht="15.75" customHeight="1" x14ac:dyDescent="0.25">
      <c r="U502" s="1"/>
      <c r="Y502" s="62"/>
    </row>
    <row r="503" spans="21:25" ht="15.75" customHeight="1" x14ac:dyDescent="0.25">
      <c r="U503" s="1"/>
      <c r="Y503" s="62"/>
    </row>
    <row r="504" spans="21:25" ht="15.75" customHeight="1" x14ac:dyDescent="0.25">
      <c r="U504" s="1"/>
      <c r="Y504" s="62"/>
    </row>
    <row r="505" spans="21:25" ht="15.75" customHeight="1" x14ac:dyDescent="0.25">
      <c r="U505" s="1"/>
      <c r="Y505" s="62"/>
    </row>
    <row r="506" spans="21:25" ht="15.75" customHeight="1" x14ac:dyDescent="0.25">
      <c r="U506" s="1"/>
      <c r="Y506" s="62"/>
    </row>
    <row r="507" spans="21:25" ht="15.75" customHeight="1" x14ac:dyDescent="0.25">
      <c r="U507" s="1"/>
      <c r="Y507" s="62"/>
    </row>
    <row r="508" spans="21:25" ht="15.75" customHeight="1" x14ac:dyDescent="0.25">
      <c r="U508" s="1"/>
      <c r="Y508" s="62"/>
    </row>
    <row r="509" spans="21:25" ht="15.75" customHeight="1" x14ac:dyDescent="0.25">
      <c r="U509" s="1"/>
      <c r="Y509" s="62"/>
    </row>
    <row r="510" spans="21:25" ht="15.75" customHeight="1" x14ac:dyDescent="0.25">
      <c r="U510" s="1"/>
      <c r="Y510" s="62"/>
    </row>
    <row r="511" spans="21:25" ht="15.75" customHeight="1" x14ac:dyDescent="0.25">
      <c r="U511" s="1"/>
      <c r="Y511" s="62"/>
    </row>
    <row r="512" spans="21:25" ht="15.75" customHeight="1" x14ac:dyDescent="0.25">
      <c r="U512" s="1"/>
      <c r="Y512" s="62"/>
    </row>
    <row r="513" spans="21:25" ht="15.75" customHeight="1" x14ac:dyDescent="0.25">
      <c r="U513" s="1"/>
      <c r="Y513" s="62"/>
    </row>
    <row r="514" spans="21:25" ht="15.75" customHeight="1" x14ac:dyDescent="0.25">
      <c r="U514" s="1"/>
      <c r="Y514" s="62"/>
    </row>
    <row r="515" spans="21:25" ht="15.75" customHeight="1" x14ac:dyDescent="0.25">
      <c r="U515" s="1"/>
      <c r="Y515" s="62"/>
    </row>
    <row r="516" spans="21:25" ht="15.75" customHeight="1" x14ac:dyDescent="0.25">
      <c r="U516" s="1"/>
      <c r="Y516" s="62"/>
    </row>
    <row r="517" spans="21:25" ht="15.75" customHeight="1" x14ac:dyDescent="0.25">
      <c r="U517" s="1"/>
      <c r="Y517" s="62"/>
    </row>
    <row r="518" spans="21:25" ht="15.75" customHeight="1" x14ac:dyDescent="0.25">
      <c r="U518" s="1"/>
      <c r="Y518" s="62"/>
    </row>
    <row r="519" spans="21:25" ht="15.75" customHeight="1" x14ac:dyDescent="0.25">
      <c r="U519" s="1"/>
      <c r="Y519" s="62"/>
    </row>
    <row r="520" spans="21:25" ht="15.75" customHeight="1" x14ac:dyDescent="0.25">
      <c r="U520" s="1"/>
      <c r="Y520" s="62"/>
    </row>
    <row r="521" spans="21:25" ht="15.75" customHeight="1" x14ac:dyDescent="0.25">
      <c r="U521" s="1"/>
      <c r="Y521" s="62"/>
    </row>
    <row r="522" spans="21:25" ht="15.75" customHeight="1" x14ac:dyDescent="0.25">
      <c r="U522" s="1"/>
      <c r="Y522" s="62"/>
    </row>
    <row r="523" spans="21:25" ht="15.75" customHeight="1" x14ac:dyDescent="0.25">
      <c r="U523" s="1"/>
      <c r="Y523" s="62"/>
    </row>
    <row r="524" spans="21:25" ht="15.75" customHeight="1" x14ac:dyDescent="0.25">
      <c r="U524" s="1"/>
      <c r="Y524" s="62"/>
    </row>
    <row r="525" spans="21:25" ht="15.75" customHeight="1" x14ac:dyDescent="0.25">
      <c r="U525" s="1"/>
      <c r="Y525" s="62"/>
    </row>
    <row r="526" spans="21:25" ht="15.75" customHeight="1" x14ac:dyDescent="0.25">
      <c r="U526" s="1"/>
      <c r="Y526" s="62"/>
    </row>
    <row r="527" spans="21:25" ht="15.75" customHeight="1" x14ac:dyDescent="0.25">
      <c r="U527" s="1"/>
      <c r="Y527" s="62"/>
    </row>
    <row r="528" spans="21:25" ht="15.75" customHeight="1" x14ac:dyDescent="0.25">
      <c r="U528" s="1"/>
      <c r="Y528" s="62"/>
    </row>
    <row r="529" spans="21:25" ht="15.75" customHeight="1" x14ac:dyDescent="0.25">
      <c r="U529" s="1"/>
      <c r="Y529" s="62"/>
    </row>
    <row r="530" spans="21:25" ht="15.75" customHeight="1" x14ac:dyDescent="0.25">
      <c r="U530" s="1"/>
      <c r="Y530" s="62"/>
    </row>
    <row r="531" spans="21:25" ht="15.75" customHeight="1" x14ac:dyDescent="0.25">
      <c r="U531" s="1"/>
      <c r="Y531" s="62"/>
    </row>
    <row r="532" spans="21:25" ht="15.75" customHeight="1" x14ac:dyDescent="0.25">
      <c r="U532" s="1"/>
      <c r="Y532" s="62"/>
    </row>
    <row r="533" spans="21:25" ht="15.75" customHeight="1" x14ac:dyDescent="0.25">
      <c r="U533" s="1"/>
      <c r="Y533" s="62"/>
    </row>
    <row r="534" spans="21:25" ht="15.75" customHeight="1" x14ac:dyDescent="0.25">
      <c r="U534" s="1"/>
      <c r="Y534" s="62"/>
    </row>
    <row r="535" spans="21:25" ht="15.75" customHeight="1" x14ac:dyDescent="0.25">
      <c r="U535" s="1"/>
      <c r="Y535" s="62"/>
    </row>
    <row r="536" spans="21:25" ht="15.75" customHeight="1" x14ac:dyDescent="0.25">
      <c r="U536" s="1"/>
      <c r="Y536" s="62"/>
    </row>
    <row r="537" spans="21:25" ht="15.75" customHeight="1" x14ac:dyDescent="0.25">
      <c r="U537" s="1"/>
      <c r="Y537" s="62"/>
    </row>
    <row r="538" spans="21:25" ht="15.75" customHeight="1" x14ac:dyDescent="0.25">
      <c r="U538" s="1"/>
      <c r="Y538" s="62"/>
    </row>
    <row r="539" spans="21:25" ht="15.75" customHeight="1" x14ac:dyDescent="0.25">
      <c r="U539" s="1"/>
      <c r="Y539" s="62"/>
    </row>
    <row r="540" spans="21:25" ht="15.75" customHeight="1" x14ac:dyDescent="0.25">
      <c r="U540" s="1"/>
      <c r="Y540" s="62"/>
    </row>
    <row r="541" spans="21:25" ht="15.75" customHeight="1" x14ac:dyDescent="0.25">
      <c r="U541" s="1"/>
      <c r="Y541" s="62"/>
    </row>
    <row r="542" spans="21:25" ht="15.75" customHeight="1" x14ac:dyDescent="0.25">
      <c r="U542" s="1"/>
      <c r="Y542" s="62"/>
    </row>
    <row r="543" spans="21:25" ht="15.75" customHeight="1" x14ac:dyDescent="0.25">
      <c r="U543" s="1"/>
      <c r="Y543" s="62"/>
    </row>
    <row r="544" spans="21:25" ht="15.75" customHeight="1" x14ac:dyDescent="0.25">
      <c r="U544" s="1"/>
      <c r="Y544" s="62"/>
    </row>
    <row r="545" spans="21:25" ht="15.75" customHeight="1" x14ac:dyDescent="0.25">
      <c r="U545" s="1"/>
      <c r="Y545" s="62"/>
    </row>
    <row r="546" spans="21:25" ht="15.75" customHeight="1" x14ac:dyDescent="0.25">
      <c r="U546" s="1"/>
      <c r="Y546" s="62"/>
    </row>
    <row r="547" spans="21:25" ht="15.75" customHeight="1" x14ac:dyDescent="0.25">
      <c r="U547" s="1"/>
      <c r="Y547" s="62"/>
    </row>
    <row r="548" spans="21:25" ht="15.75" customHeight="1" x14ac:dyDescent="0.25">
      <c r="U548" s="1"/>
      <c r="Y548" s="62"/>
    </row>
    <row r="549" spans="21:25" ht="15.75" customHeight="1" x14ac:dyDescent="0.25">
      <c r="U549" s="1"/>
      <c r="Y549" s="62"/>
    </row>
    <row r="550" spans="21:25" ht="15.75" customHeight="1" x14ac:dyDescent="0.25">
      <c r="U550" s="1"/>
      <c r="Y550" s="62"/>
    </row>
    <row r="551" spans="21:25" ht="15.75" customHeight="1" x14ac:dyDescent="0.25">
      <c r="U551" s="1"/>
      <c r="Y551" s="62"/>
    </row>
    <row r="552" spans="21:25" ht="15.75" customHeight="1" x14ac:dyDescent="0.25">
      <c r="U552" s="1"/>
      <c r="Y552" s="62"/>
    </row>
    <row r="553" spans="21:25" ht="15.75" customHeight="1" x14ac:dyDescent="0.25">
      <c r="U553" s="1"/>
      <c r="Y553" s="62"/>
    </row>
    <row r="554" spans="21:25" ht="15.75" customHeight="1" x14ac:dyDescent="0.25">
      <c r="U554" s="1"/>
      <c r="Y554" s="62"/>
    </row>
    <row r="555" spans="21:25" ht="15.75" customHeight="1" x14ac:dyDescent="0.25">
      <c r="U555" s="1"/>
      <c r="Y555" s="62"/>
    </row>
    <row r="556" spans="21:25" ht="15.75" customHeight="1" x14ac:dyDescent="0.25">
      <c r="U556" s="1"/>
      <c r="Y556" s="62"/>
    </row>
    <row r="557" spans="21:25" ht="15.75" customHeight="1" x14ac:dyDescent="0.25">
      <c r="U557" s="1"/>
      <c r="Y557" s="62"/>
    </row>
    <row r="558" spans="21:25" ht="15.75" customHeight="1" x14ac:dyDescent="0.25">
      <c r="U558" s="1"/>
      <c r="Y558" s="62"/>
    </row>
    <row r="559" spans="21:25" ht="15.75" customHeight="1" x14ac:dyDescent="0.25">
      <c r="U559" s="1"/>
      <c r="Y559" s="62"/>
    </row>
    <row r="560" spans="21:25" ht="15.75" customHeight="1" x14ac:dyDescent="0.25">
      <c r="U560" s="1"/>
      <c r="Y560" s="62"/>
    </row>
    <row r="561" spans="21:25" ht="15.75" customHeight="1" x14ac:dyDescent="0.25">
      <c r="U561" s="1"/>
      <c r="Y561" s="62"/>
    </row>
    <row r="562" spans="21:25" ht="15.75" customHeight="1" x14ac:dyDescent="0.25">
      <c r="U562" s="1"/>
      <c r="Y562" s="62"/>
    </row>
    <row r="563" spans="21:25" ht="15.75" customHeight="1" x14ac:dyDescent="0.25">
      <c r="U563" s="1"/>
      <c r="Y563" s="62"/>
    </row>
    <row r="564" spans="21:25" ht="15.75" customHeight="1" x14ac:dyDescent="0.25">
      <c r="U564" s="1"/>
      <c r="Y564" s="62"/>
    </row>
    <row r="565" spans="21:25" ht="15.75" customHeight="1" x14ac:dyDescent="0.25">
      <c r="U565" s="1"/>
      <c r="Y565" s="62"/>
    </row>
    <row r="566" spans="21:25" ht="15.75" customHeight="1" x14ac:dyDescent="0.25">
      <c r="U566" s="1"/>
      <c r="Y566" s="62"/>
    </row>
    <row r="567" spans="21:25" ht="15.75" customHeight="1" x14ac:dyDescent="0.25">
      <c r="U567" s="1"/>
      <c r="Y567" s="62"/>
    </row>
    <row r="568" spans="21:25" ht="15.75" customHeight="1" x14ac:dyDescent="0.25">
      <c r="U568" s="1"/>
      <c r="Y568" s="62"/>
    </row>
    <row r="569" spans="21:25" ht="15.75" customHeight="1" x14ac:dyDescent="0.25">
      <c r="U569" s="1"/>
      <c r="Y569" s="62"/>
    </row>
    <row r="570" spans="21:25" ht="15.75" customHeight="1" x14ac:dyDescent="0.25">
      <c r="U570" s="1"/>
      <c r="Y570" s="62"/>
    </row>
    <row r="571" spans="21:25" ht="15.75" customHeight="1" x14ac:dyDescent="0.25">
      <c r="U571" s="1"/>
      <c r="Y571" s="62"/>
    </row>
    <row r="572" spans="21:25" ht="15.75" customHeight="1" x14ac:dyDescent="0.25">
      <c r="U572" s="1"/>
      <c r="Y572" s="62"/>
    </row>
    <row r="573" spans="21:25" ht="15.75" customHeight="1" x14ac:dyDescent="0.25">
      <c r="U573" s="1"/>
      <c r="Y573" s="62"/>
    </row>
    <row r="574" spans="21:25" ht="15.75" customHeight="1" x14ac:dyDescent="0.25">
      <c r="U574" s="1"/>
      <c r="Y574" s="62"/>
    </row>
    <row r="575" spans="21:25" ht="15.75" customHeight="1" x14ac:dyDescent="0.25">
      <c r="U575" s="1"/>
      <c r="Y575" s="62"/>
    </row>
    <row r="576" spans="21:25" ht="15.75" customHeight="1" x14ac:dyDescent="0.25">
      <c r="U576" s="1"/>
      <c r="Y576" s="62"/>
    </row>
    <row r="577" spans="21:25" ht="15.75" customHeight="1" x14ac:dyDescent="0.25">
      <c r="U577" s="1"/>
      <c r="Y577" s="62"/>
    </row>
    <row r="578" spans="21:25" ht="15.75" customHeight="1" x14ac:dyDescent="0.25">
      <c r="U578" s="1"/>
      <c r="Y578" s="62"/>
    </row>
    <row r="579" spans="21:25" ht="15.75" customHeight="1" x14ac:dyDescent="0.25">
      <c r="U579" s="1"/>
      <c r="Y579" s="62"/>
    </row>
    <row r="580" spans="21:25" ht="15.75" customHeight="1" x14ac:dyDescent="0.25">
      <c r="U580" s="1"/>
      <c r="Y580" s="62"/>
    </row>
    <row r="581" spans="21:25" ht="15.75" customHeight="1" x14ac:dyDescent="0.25">
      <c r="U581" s="1"/>
      <c r="Y581" s="62"/>
    </row>
    <row r="582" spans="21:25" ht="15.75" customHeight="1" x14ac:dyDescent="0.25">
      <c r="U582" s="1"/>
      <c r="Y582" s="62"/>
    </row>
    <row r="583" spans="21:25" ht="15.75" customHeight="1" x14ac:dyDescent="0.25">
      <c r="U583" s="1"/>
      <c r="Y583" s="62"/>
    </row>
    <row r="584" spans="21:25" ht="15.75" customHeight="1" x14ac:dyDescent="0.25">
      <c r="U584" s="1"/>
      <c r="Y584" s="62"/>
    </row>
    <row r="585" spans="21:25" ht="15.75" customHeight="1" x14ac:dyDescent="0.25">
      <c r="U585" s="1"/>
      <c r="Y585" s="62"/>
    </row>
    <row r="586" spans="21:25" ht="15.75" customHeight="1" x14ac:dyDescent="0.25">
      <c r="U586" s="1"/>
      <c r="Y586" s="62"/>
    </row>
    <row r="587" spans="21:25" ht="15.75" customHeight="1" x14ac:dyDescent="0.25">
      <c r="U587" s="1"/>
      <c r="Y587" s="62"/>
    </row>
    <row r="588" spans="21:25" ht="15.75" customHeight="1" x14ac:dyDescent="0.25">
      <c r="U588" s="1"/>
      <c r="Y588" s="62"/>
    </row>
    <row r="589" spans="21:25" ht="15.75" customHeight="1" x14ac:dyDescent="0.25">
      <c r="U589" s="1"/>
      <c r="Y589" s="62"/>
    </row>
    <row r="590" spans="21:25" ht="15.75" customHeight="1" x14ac:dyDescent="0.25">
      <c r="U590" s="1"/>
      <c r="Y590" s="62"/>
    </row>
    <row r="591" spans="21:25" ht="15.75" customHeight="1" x14ac:dyDescent="0.25">
      <c r="U591" s="1"/>
      <c r="Y591" s="62"/>
    </row>
    <row r="592" spans="21:25" ht="15.75" customHeight="1" x14ac:dyDescent="0.25">
      <c r="U592" s="1"/>
      <c r="Y592" s="62"/>
    </row>
    <row r="593" spans="21:25" ht="15.75" customHeight="1" x14ac:dyDescent="0.25">
      <c r="U593" s="1"/>
      <c r="Y593" s="62"/>
    </row>
    <row r="594" spans="21:25" ht="15.75" customHeight="1" x14ac:dyDescent="0.25">
      <c r="U594" s="1"/>
      <c r="Y594" s="62"/>
    </row>
    <row r="595" spans="21:25" ht="15.75" customHeight="1" x14ac:dyDescent="0.25">
      <c r="U595" s="1"/>
      <c r="Y595" s="62"/>
    </row>
    <row r="596" spans="21:25" ht="15.75" customHeight="1" x14ac:dyDescent="0.25">
      <c r="U596" s="1"/>
      <c r="Y596" s="62"/>
    </row>
    <row r="597" spans="21:25" ht="15.75" customHeight="1" x14ac:dyDescent="0.25">
      <c r="U597" s="1"/>
      <c r="Y597" s="62"/>
    </row>
    <row r="598" spans="21:25" ht="15.75" customHeight="1" x14ac:dyDescent="0.25">
      <c r="U598" s="1"/>
      <c r="Y598" s="62"/>
    </row>
    <row r="599" spans="21:25" ht="15.75" customHeight="1" x14ac:dyDescent="0.25">
      <c r="U599" s="1"/>
      <c r="Y599" s="62"/>
    </row>
    <row r="600" spans="21:25" ht="15.75" customHeight="1" x14ac:dyDescent="0.25">
      <c r="U600" s="1"/>
      <c r="Y600" s="62"/>
    </row>
    <row r="601" spans="21:25" ht="15.75" customHeight="1" x14ac:dyDescent="0.25">
      <c r="U601" s="1"/>
      <c r="Y601" s="62"/>
    </row>
    <row r="602" spans="21:25" ht="15.75" customHeight="1" x14ac:dyDescent="0.25">
      <c r="U602" s="1"/>
      <c r="Y602" s="62"/>
    </row>
    <row r="603" spans="21:25" ht="15.75" customHeight="1" x14ac:dyDescent="0.25">
      <c r="U603" s="1"/>
      <c r="Y603" s="62"/>
    </row>
    <row r="604" spans="21:25" ht="15.75" customHeight="1" x14ac:dyDescent="0.25">
      <c r="U604" s="1"/>
      <c r="Y604" s="62"/>
    </row>
    <row r="605" spans="21:25" ht="15.75" customHeight="1" x14ac:dyDescent="0.25">
      <c r="U605" s="1"/>
      <c r="Y605" s="62"/>
    </row>
    <row r="606" spans="21:25" ht="15.75" customHeight="1" x14ac:dyDescent="0.25">
      <c r="U606" s="1"/>
      <c r="Y606" s="62"/>
    </row>
    <row r="607" spans="21:25" ht="15.75" customHeight="1" x14ac:dyDescent="0.25">
      <c r="U607" s="1"/>
      <c r="Y607" s="62"/>
    </row>
    <row r="608" spans="21:25" ht="15.75" customHeight="1" x14ac:dyDescent="0.25">
      <c r="U608" s="1"/>
      <c r="Y608" s="62"/>
    </row>
    <row r="609" spans="21:25" ht="15.75" customHeight="1" x14ac:dyDescent="0.25">
      <c r="U609" s="1"/>
      <c r="Y609" s="62"/>
    </row>
    <row r="610" spans="21:25" ht="15.75" customHeight="1" x14ac:dyDescent="0.25">
      <c r="U610" s="1"/>
      <c r="Y610" s="62"/>
    </row>
    <row r="611" spans="21:25" ht="15.75" customHeight="1" x14ac:dyDescent="0.25">
      <c r="U611" s="1"/>
      <c r="Y611" s="62"/>
    </row>
    <row r="612" spans="21:25" ht="15.75" customHeight="1" x14ac:dyDescent="0.25">
      <c r="U612" s="1"/>
      <c r="Y612" s="62"/>
    </row>
    <row r="613" spans="21:25" ht="15.75" customHeight="1" x14ac:dyDescent="0.25">
      <c r="U613" s="1"/>
      <c r="Y613" s="62"/>
    </row>
    <row r="614" spans="21:25" ht="15.75" customHeight="1" x14ac:dyDescent="0.25">
      <c r="U614" s="1"/>
      <c r="Y614" s="62"/>
    </row>
    <row r="615" spans="21:25" ht="15.75" customHeight="1" x14ac:dyDescent="0.25">
      <c r="U615" s="1"/>
      <c r="Y615" s="62"/>
    </row>
    <row r="616" spans="21:25" ht="15.75" customHeight="1" x14ac:dyDescent="0.25">
      <c r="U616" s="1"/>
      <c r="Y616" s="62"/>
    </row>
    <row r="617" spans="21:25" ht="15.75" customHeight="1" x14ac:dyDescent="0.25">
      <c r="U617" s="1"/>
      <c r="Y617" s="62"/>
    </row>
    <row r="618" spans="21:25" ht="15.75" customHeight="1" x14ac:dyDescent="0.25">
      <c r="U618" s="1"/>
      <c r="Y618" s="62"/>
    </row>
    <row r="619" spans="21:25" ht="15.75" customHeight="1" x14ac:dyDescent="0.25">
      <c r="U619" s="1"/>
      <c r="Y619" s="62"/>
    </row>
    <row r="620" spans="21:25" ht="15.75" customHeight="1" x14ac:dyDescent="0.25">
      <c r="U620" s="1"/>
      <c r="Y620" s="62"/>
    </row>
    <row r="621" spans="21:25" ht="15.75" customHeight="1" x14ac:dyDescent="0.25">
      <c r="U621" s="1"/>
      <c r="Y621" s="62"/>
    </row>
    <row r="622" spans="21:25" ht="15.75" customHeight="1" x14ac:dyDescent="0.25">
      <c r="U622" s="1"/>
      <c r="Y622" s="62"/>
    </row>
    <row r="623" spans="21:25" ht="15.75" customHeight="1" x14ac:dyDescent="0.25">
      <c r="U623" s="1"/>
      <c r="Y623" s="62"/>
    </row>
    <row r="624" spans="21:25" ht="15.75" customHeight="1" x14ac:dyDescent="0.25">
      <c r="U624" s="1"/>
      <c r="Y624" s="62"/>
    </row>
    <row r="625" spans="21:25" ht="15.75" customHeight="1" x14ac:dyDescent="0.25">
      <c r="U625" s="1"/>
      <c r="Y625" s="62"/>
    </row>
    <row r="626" spans="21:25" ht="15.75" customHeight="1" x14ac:dyDescent="0.25">
      <c r="U626" s="1"/>
      <c r="Y626" s="62"/>
    </row>
    <row r="627" spans="21:25" ht="15.75" customHeight="1" x14ac:dyDescent="0.25">
      <c r="U627" s="1"/>
      <c r="Y627" s="62"/>
    </row>
    <row r="628" spans="21:25" ht="15.75" customHeight="1" x14ac:dyDescent="0.25">
      <c r="U628" s="1"/>
      <c r="Y628" s="62"/>
    </row>
    <row r="629" spans="21:25" ht="15.75" customHeight="1" x14ac:dyDescent="0.25">
      <c r="U629" s="1"/>
      <c r="Y629" s="62"/>
    </row>
    <row r="630" spans="21:25" ht="15.75" customHeight="1" x14ac:dyDescent="0.25">
      <c r="U630" s="1"/>
      <c r="Y630" s="62"/>
    </row>
    <row r="631" spans="21:25" ht="15.75" customHeight="1" x14ac:dyDescent="0.25">
      <c r="U631" s="1"/>
      <c r="Y631" s="62"/>
    </row>
    <row r="632" spans="21:25" ht="15.75" customHeight="1" x14ac:dyDescent="0.25">
      <c r="U632" s="1"/>
      <c r="Y632" s="62"/>
    </row>
    <row r="633" spans="21:25" ht="15.75" customHeight="1" x14ac:dyDescent="0.25">
      <c r="U633" s="1"/>
      <c r="Y633" s="62"/>
    </row>
    <row r="634" spans="21:25" ht="15.75" customHeight="1" x14ac:dyDescent="0.25">
      <c r="U634" s="1"/>
      <c r="Y634" s="62"/>
    </row>
    <row r="635" spans="21:25" ht="15.75" customHeight="1" x14ac:dyDescent="0.25">
      <c r="U635" s="1"/>
      <c r="Y635" s="62"/>
    </row>
    <row r="636" spans="21:25" ht="15.75" customHeight="1" x14ac:dyDescent="0.25">
      <c r="U636" s="1"/>
      <c r="Y636" s="62"/>
    </row>
    <row r="637" spans="21:25" ht="15.75" customHeight="1" x14ac:dyDescent="0.25">
      <c r="U637" s="1"/>
      <c r="Y637" s="62"/>
    </row>
    <row r="638" spans="21:25" ht="15.75" customHeight="1" x14ac:dyDescent="0.25">
      <c r="U638" s="1"/>
      <c r="Y638" s="62"/>
    </row>
    <row r="639" spans="21:25" ht="15.75" customHeight="1" x14ac:dyDescent="0.25">
      <c r="U639" s="1"/>
      <c r="Y639" s="62"/>
    </row>
    <row r="640" spans="21:25" ht="15.75" customHeight="1" x14ac:dyDescent="0.25">
      <c r="U640" s="1"/>
      <c r="Y640" s="62"/>
    </row>
    <row r="641" spans="21:25" ht="15.75" customHeight="1" x14ac:dyDescent="0.25">
      <c r="U641" s="1"/>
      <c r="Y641" s="62"/>
    </row>
    <row r="642" spans="21:25" ht="15.75" customHeight="1" x14ac:dyDescent="0.25">
      <c r="U642" s="1"/>
      <c r="Y642" s="62"/>
    </row>
    <row r="643" spans="21:25" ht="15.75" customHeight="1" x14ac:dyDescent="0.25">
      <c r="U643" s="1"/>
      <c r="Y643" s="62"/>
    </row>
    <row r="644" spans="21:25" ht="15.75" customHeight="1" x14ac:dyDescent="0.25">
      <c r="U644" s="1"/>
      <c r="Y644" s="62"/>
    </row>
    <row r="645" spans="21:25" ht="15.75" customHeight="1" x14ac:dyDescent="0.25">
      <c r="U645" s="1"/>
      <c r="Y645" s="62"/>
    </row>
    <row r="646" spans="21:25" ht="15.75" customHeight="1" x14ac:dyDescent="0.25">
      <c r="U646" s="1"/>
      <c r="Y646" s="62"/>
    </row>
    <row r="647" spans="21:25" ht="15.75" customHeight="1" x14ac:dyDescent="0.25">
      <c r="U647" s="1"/>
      <c r="Y647" s="62"/>
    </row>
    <row r="648" spans="21:25" ht="15.75" customHeight="1" x14ac:dyDescent="0.25">
      <c r="U648" s="1"/>
      <c r="Y648" s="62"/>
    </row>
    <row r="649" spans="21:25" ht="15.75" customHeight="1" x14ac:dyDescent="0.25">
      <c r="U649" s="1"/>
      <c r="Y649" s="62"/>
    </row>
    <row r="650" spans="21:25" ht="15.75" customHeight="1" x14ac:dyDescent="0.25">
      <c r="U650" s="1"/>
      <c r="Y650" s="62"/>
    </row>
    <row r="651" spans="21:25" ht="15.75" customHeight="1" x14ac:dyDescent="0.25">
      <c r="U651" s="1"/>
      <c r="Y651" s="62"/>
    </row>
    <row r="652" spans="21:25" ht="15.75" customHeight="1" x14ac:dyDescent="0.25">
      <c r="U652" s="1"/>
      <c r="Y652" s="62"/>
    </row>
    <row r="653" spans="21:25" ht="15.75" customHeight="1" x14ac:dyDescent="0.25">
      <c r="U653" s="1"/>
      <c r="Y653" s="62"/>
    </row>
    <row r="654" spans="21:25" ht="15.75" customHeight="1" x14ac:dyDescent="0.25">
      <c r="U654" s="1"/>
      <c r="Y654" s="62"/>
    </row>
    <row r="655" spans="21:25" ht="15.75" customHeight="1" x14ac:dyDescent="0.25">
      <c r="U655" s="1"/>
      <c r="Y655" s="62"/>
    </row>
    <row r="656" spans="21:25" ht="15.75" customHeight="1" x14ac:dyDescent="0.25">
      <c r="U656" s="1"/>
      <c r="Y656" s="62"/>
    </row>
    <row r="657" spans="21:25" ht="15.75" customHeight="1" x14ac:dyDescent="0.25">
      <c r="U657" s="1"/>
      <c r="Y657" s="62"/>
    </row>
    <row r="658" spans="21:25" ht="15.75" customHeight="1" x14ac:dyDescent="0.25">
      <c r="U658" s="1"/>
      <c r="Y658" s="62"/>
    </row>
    <row r="659" spans="21:25" ht="15.75" customHeight="1" x14ac:dyDescent="0.25">
      <c r="U659" s="1"/>
      <c r="Y659" s="62"/>
    </row>
    <row r="660" spans="21:25" ht="15.75" customHeight="1" x14ac:dyDescent="0.25">
      <c r="U660" s="1"/>
      <c r="Y660" s="62"/>
    </row>
    <row r="661" spans="21:25" ht="15.75" customHeight="1" x14ac:dyDescent="0.25">
      <c r="U661" s="1"/>
      <c r="Y661" s="62"/>
    </row>
    <row r="662" spans="21:25" ht="15.75" customHeight="1" x14ac:dyDescent="0.25">
      <c r="U662" s="1"/>
      <c r="Y662" s="62"/>
    </row>
    <row r="663" spans="21:25" ht="15.75" customHeight="1" x14ac:dyDescent="0.25">
      <c r="U663" s="1"/>
      <c r="Y663" s="62"/>
    </row>
    <row r="664" spans="21:25" ht="15.75" customHeight="1" x14ac:dyDescent="0.25">
      <c r="U664" s="1"/>
      <c r="Y664" s="62"/>
    </row>
    <row r="665" spans="21:25" ht="15.75" customHeight="1" x14ac:dyDescent="0.25">
      <c r="U665" s="1"/>
      <c r="Y665" s="62"/>
    </row>
    <row r="666" spans="21:25" ht="15.75" customHeight="1" x14ac:dyDescent="0.25">
      <c r="U666" s="1"/>
      <c r="Y666" s="62"/>
    </row>
    <row r="667" spans="21:25" ht="15.75" customHeight="1" x14ac:dyDescent="0.25">
      <c r="U667" s="1"/>
      <c r="Y667" s="62"/>
    </row>
    <row r="668" spans="21:25" ht="15.75" customHeight="1" x14ac:dyDescent="0.25">
      <c r="U668" s="1"/>
      <c r="Y668" s="62"/>
    </row>
    <row r="669" spans="21:25" ht="15.75" customHeight="1" x14ac:dyDescent="0.25">
      <c r="U669" s="1"/>
      <c r="Y669" s="62"/>
    </row>
    <row r="670" spans="21:25" ht="15.75" customHeight="1" x14ac:dyDescent="0.25">
      <c r="U670" s="1"/>
      <c r="Y670" s="62"/>
    </row>
    <row r="671" spans="21:25" ht="15.75" customHeight="1" x14ac:dyDescent="0.25">
      <c r="U671" s="1"/>
      <c r="Y671" s="62"/>
    </row>
    <row r="672" spans="21:25" ht="15.75" customHeight="1" x14ac:dyDescent="0.25">
      <c r="U672" s="1"/>
      <c r="Y672" s="62"/>
    </row>
    <row r="673" spans="21:25" ht="15.75" customHeight="1" x14ac:dyDescent="0.25">
      <c r="U673" s="1"/>
      <c r="Y673" s="62"/>
    </row>
    <row r="674" spans="21:25" ht="15.75" customHeight="1" x14ac:dyDescent="0.25">
      <c r="U674" s="1"/>
      <c r="Y674" s="62"/>
    </row>
    <row r="675" spans="21:25" ht="15.75" customHeight="1" x14ac:dyDescent="0.25">
      <c r="U675" s="1"/>
      <c r="Y675" s="62"/>
    </row>
    <row r="676" spans="21:25" ht="15.75" customHeight="1" x14ac:dyDescent="0.25">
      <c r="U676" s="1"/>
      <c r="Y676" s="62"/>
    </row>
    <row r="677" spans="21:25" ht="15.75" customHeight="1" x14ac:dyDescent="0.25">
      <c r="U677" s="1"/>
      <c r="Y677" s="62"/>
    </row>
    <row r="678" spans="21:25" ht="15.75" customHeight="1" x14ac:dyDescent="0.25">
      <c r="U678" s="1"/>
      <c r="Y678" s="62"/>
    </row>
    <row r="679" spans="21:25" ht="15.75" customHeight="1" x14ac:dyDescent="0.25">
      <c r="U679" s="1"/>
      <c r="Y679" s="62"/>
    </row>
    <row r="680" spans="21:25" ht="15.75" customHeight="1" x14ac:dyDescent="0.25">
      <c r="U680" s="1"/>
      <c r="Y680" s="62"/>
    </row>
    <row r="681" spans="21:25" ht="15.75" customHeight="1" x14ac:dyDescent="0.25">
      <c r="U681" s="1"/>
      <c r="Y681" s="62"/>
    </row>
    <row r="682" spans="21:25" ht="15.75" customHeight="1" x14ac:dyDescent="0.25">
      <c r="U682" s="1"/>
      <c r="Y682" s="62"/>
    </row>
    <row r="683" spans="21:25" ht="15.75" customHeight="1" x14ac:dyDescent="0.25">
      <c r="U683" s="1"/>
      <c r="Y683" s="62"/>
    </row>
    <row r="684" spans="21:25" ht="15.75" customHeight="1" x14ac:dyDescent="0.25">
      <c r="U684" s="1"/>
      <c r="Y684" s="62"/>
    </row>
    <row r="685" spans="21:25" ht="15.75" customHeight="1" x14ac:dyDescent="0.25">
      <c r="U685" s="1"/>
      <c r="Y685" s="62"/>
    </row>
    <row r="686" spans="21:25" ht="15.75" customHeight="1" x14ac:dyDescent="0.25">
      <c r="U686" s="1"/>
      <c r="Y686" s="62"/>
    </row>
    <row r="687" spans="21:25" ht="15.75" customHeight="1" x14ac:dyDescent="0.25">
      <c r="U687" s="1"/>
      <c r="Y687" s="62"/>
    </row>
    <row r="688" spans="21:25" ht="15.75" customHeight="1" x14ac:dyDescent="0.25">
      <c r="U688" s="1"/>
      <c r="Y688" s="62"/>
    </row>
    <row r="689" spans="21:25" ht="15.75" customHeight="1" x14ac:dyDescent="0.25">
      <c r="U689" s="1"/>
      <c r="Y689" s="62"/>
    </row>
    <row r="690" spans="21:25" ht="15.75" customHeight="1" x14ac:dyDescent="0.25">
      <c r="U690" s="1"/>
      <c r="Y690" s="62"/>
    </row>
    <row r="691" spans="21:25" ht="15.75" customHeight="1" x14ac:dyDescent="0.25">
      <c r="U691" s="1"/>
      <c r="Y691" s="62"/>
    </row>
    <row r="692" spans="21:25" ht="15.75" customHeight="1" x14ac:dyDescent="0.25">
      <c r="U692" s="1"/>
      <c r="Y692" s="62"/>
    </row>
    <row r="693" spans="21:25" ht="15.75" customHeight="1" x14ac:dyDescent="0.25">
      <c r="U693" s="1"/>
      <c r="Y693" s="62"/>
    </row>
    <row r="694" spans="21:25" ht="15.75" customHeight="1" x14ac:dyDescent="0.25">
      <c r="U694" s="1"/>
      <c r="Y694" s="62"/>
    </row>
    <row r="695" spans="21:25" ht="15.75" customHeight="1" x14ac:dyDescent="0.25">
      <c r="U695" s="1"/>
      <c r="Y695" s="62"/>
    </row>
    <row r="696" spans="21:25" ht="15.75" customHeight="1" x14ac:dyDescent="0.25">
      <c r="U696" s="1"/>
      <c r="Y696" s="62"/>
    </row>
    <row r="697" spans="21:25" ht="15.75" customHeight="1" x14ac:dyDescent="0.25">
      <c r="U697" s="1"/>
      <c r="Y697" s="62"/>
    </row>
    <row r="698" spans="21:25" ht="15.75" customHeight="1" x14ac:dyDescent="0.25">
      <c r="U698" s="1"/>
      <c r="Y698" s="62"/>
    </row>
    <row r="699" spans="21:25" ht="15.75" customHeight="1" x14ac:dyDescent="0.25">
      <c r="U699" s="1"/>
      <c r="Y699" s="62"/>
    </row>
    <row r="700" spans="21:25" ht="15.75" customHeight="1" x14ac:dyDescent="0.25">
      <c r="U700" s="1"/>
      <c r="Y700" s="62"/>
    </row>
    <row r="701" spans="21:25" ht="15.75" customHeight="1" x14ac:dyDescent="0.25">
      <c r="U701" s="1"/>
      <c r="Y701" s="62"/>
    </row>
    <row r="702" spans="21:25" ht="15.75" customHeight="1" x14ac:dyDescent="0.25">
      <c r="U702" s="1"/>
      <c r="Y702" s="62"/>
    </row>
    <row r="703" spans="21:25" ht="15.75" customHeight="1" x14ac:dyDescent="0.25">
      <c r="U703" s="1"/>
      <c r="Y703" s="62"/>
    </row>
    <row r="704" spans="21:25" ht="15.75" customHeight="1" x14ac:dyDescent="0.25">
      <c r="U704" s="1"/>
      <c r="Y704" s="62"/>
    </row>
    <row r="705" spans="21:25" ht="15.75" customHeight="1" x14ac:dyDescent="0.25">
      <c r="U705" s="1"/>
      <c r="Y705" s="62"/>
    </row>
    <row r="706" spans="21:25" ht="15.75" customHeight="1" x14ac:dyDescent="0.25">
      <c r="U706" s="1"/>
      <c r="Y706" s="62"/>
    </row>
    <row r="707" spans="21:25" ht="15.75" customHeight="1" x14ac:dyDescent="0.25">
      <c r="U707" s="1"/>
      <c r="Y707" s="62"/>
    </row>
    <row r="708" spans="21:25" ht="15.75" customHeight="1" x14ac:dyDescent="0.25">
      <c r="U708" s="1"/>
      <c r="Y708" s="62"/>
    </row>
    <row r="709" spans="21:25" ht="15.75" customHeight="1" x14ac:dyDescent="0.25">
      <c r="U709" s="1"/>
      <c r="Y709" s="62"/>
    </row>
    <row r="710" spans="21:25" ht="15.75" customHeight="1" x14ac:dyDescent="0.25">
      <c r="U710" s="1"/>
      <c r="Y710" s="62"/>
    </row>
    <row r="711" spans="21:25" ht="15.75" customHeight="1" x14ac:dyDescent="0.25">
      <c r="U711" s="1"/>
      <c r="Y711" s="62"/>
    </row>
    <row r="712" spans="21:25" ht="15.75" customHeight="1" x14ac:dyDescent="0.25">
      <c r="U712" s="1"/>
      <c r="Y712" s="62"/>
    </row>
    <row r="713" spans="21:25" ht="15.75" customHeight="1" x14ac:dyDescent="0.25">
      <c r="U713" s="1"/>
      <c r="Y713" s="62"/>
    </row>
    <row r="714" spans="21:25" ht="15.75" customHeight="1" x14ac:dyDescent="0.25">
      <c r="U714" s="1"/>
      <c r="Y714" s="62"/>
    </row>
    <row r="715" spans="21:25" ht="15.75" customHeight="1" x14ac:dyDescent="0.25">
      <c r="U715" s="1"/>
      <c r="Y715" s="62"/>
    </row>
    <row r="716" spans="21:25" ht="15.75" customHeight="1" x14ac:dyDescent="0.25">
      <c r="U716" s="1"/>
      <c r="Y716" s="62"/>
    </row>
    <row r="717" spans="21:25" ht="15.75" customHeight="1" x14ac:dyDescent="0.25">
      <c r="U717" s="1"/>
      <c r="Y717" s="62"/>
    </row>
    <row r="718" spans="21:25" ht="15.75" customHeight="1" x14ac:dyDescent="0.25">
      <c r="U718" s="1"/>
      <c r="Y718" s="62"/>
    </row>
    <row r="719" spans="21:25" ht="15.75" customHeight="1" x14ac:dyDescent="0.25">
      <c r="U719" s="1"/>
      <c r="Y719" s="62"/>
    </row>
    <row r="720" spans="21:25" ht="15.75" customHeight="1" x14ac:dyDescent="0.25">
      <c r="U720" s="1"/>
      <c r="Y720" s="62"/>
    </row>
    <row r="721" spans="21:25" ht="15.75" customHeight="1" x14ac:dyDescent="0.25">
      <c r="U721" s="1"/>
      <c r="Y721" s="62"/>
    </row>
    <row r="722" spans="21:25" ht="15.75" customHeight="1" x14ac:dyDescent="0.25">
      <c r="U722" s="1"/>
      <c r="Y722" s="62"/>
    </row>
    <row r="723" spans="21:25" ht="15.75" customHeight="1" x14ac:dyDescent="0.25">
      <c r="U723" s="1"/>
      <c r="Y723" s="62"/>
    </row>
    <row r="724" spans="21:25" ht="15.75" customHeight="1" x14ac:dyDescent="0.25">
      <c r="U724" s="1"/>
      <c r="Y724" s="62"/>
    </row>
    <row r="725" spans="21:25" ht="15.75" customHeight="1" x14ac:dyDescent="0.25">
      <c r="U725" s="1"/>
      <c r="Y725" s="62"/>
    </row>
    <row r="726" spans="21:25" ht="15.75" customHeight="1" x14ac:dyDescent="0.25">
      <c r="U726" s="1"/>
      <c r="Y726" s="62"/>
    </row>
    <row r="727" spans="21:25" ht="15.75" customHeight="1" x14ac:dyDescent="0.25">
      <c r="U727" s="1"/>
      <c r="Y727" s="62"/>
    </row>
    <row r="728" spans="21:25" ht="15.75" customHeight="1" x14ac:dyDescent="0.25">
      <c r="U728" s="1"/>
      <c r="Y728" s="62"/>
    </row>
    <row r="729" spans="21:25" ht="15.75" customHeight="1" x14ac:dyDescent="0.25">
      <c r="U729" s="1"/>
      <c r="Y729" s="62"/>
    </row>
    <row r="730" spans="21:25" ht="15.75" customHeight="1" x14ac:dyDescent="0.25">
      <c r="U730" s="1"/>
      <c r="Y730" s="62"/>
    </row>
    <row r="731" spans="21:25" ht="15.75" customHeight="1" x14ac:dyDescent="0.25">
      <c r="U731" s="1"/>
      <c r="Y731" s="62"/>
    </row>
    <row r="732" spans="21:25" ht="15.75" customHeight="1" x14ac:dyDescent="0.25">
      <c r="U732" s="1"/>
      <c r="Y732" s="62"/>
    </row>
    <row r="733" spans="21:25" ht="15.75" customHeight="1" x14ac:dyDescent="0.25">
      <c r="U733" s="1"/>
      <c r="Y733" s="62"/>
    </row>
    <row r="734" spans="21:25" ht="15.75" customHeight="1" x14ac:dyDescent="0.25">
      <c r="U734" s="1"/>
      <c r="Y734" s="62"/>
    </row>
    <row r="735" spans="21:25" ht="15.75" customHeight="1" x14ac:dyDescent="0.25">
      <c r="U735" s="1"/>
      <c r="Y735" s="62"/>
    </row>
    <row r="736" spans="21:25" ht="15.75" customHeight="1" x14ac:dyDescent="0.25">
      <c r="U736" s="1"/>
      <c r="Y736" s="62"/>
    </row>
    <row r="737" spans="21:25" ht="15.75" customHeight="1" x14ac:dyDescent="0.25">
      <c r="U737" s="1"/>
      <c r="Y737" s="62"/>
    </row>
    <row r="738" spans="21:25" ht="15.75" customHeight="1" x14ac:dyDescent="0.25">
      <c r="U738" s="1"/>
      <c r="Y738" s="62"/>
    </row>
    <row r="739" spans="21:25" ht="15.75" customHeight="1" x14ac:dyDescent="0.25">
      <c r="U739" s="1"/>
      <c r="Y739" s="62"/>
    </row>
    <row r="740" spans="21:25" ht="15.75" customHeight="1" x14ac:dyDescent="0.25">
      <c r="U740" s="1"/>
      <c r="Y740" s="62"/>
    </row>
    <row r="741" spans="21:25" ht="15.75" customHeight="1" x14ac:dyDescent="0.25">
      <c r="U741" s="1"/>
      <c r="Y741" s="62"/>
    </row>
    <row r="742" spans="21:25" ht="15.75" customHeight="1" x14ac:dyDescent="0.25">
      <c r="U742" s="1"/>
      <c r="Y742" s="62"/>
    </row>
    <row r="743" spans="21:25" ht="15.75" customHeight="1" x14ac:dyDescent="0.25">
      <c r="U743" s="1"/>
      <c r="Y743" s="62"/>
    </row>
    <row r="744" spans="21:25" ht="15.75" customHeight="1" x14ac:dyDescent="0.25">
      <c r="U744" s="1"/>
      <c r="Y744" s="62"/>
    </row>
    <row r="745" spans="21:25" ht="15.75" customHeight="1" x14ac:dyDescent="0.25">
      <c r="U745" s="1"/>
      <c r="Y745" s="62"/>
    </row>
    <row r="746" spans="21:25" ht="15.75" customHeight="1" x14ac:dyDescent="0.25">
      <c r="U746" s="1"/>
      <c r="Y746" s="62"/>
    </row>
    <row r="747" spans="21:25" ht="15.75" customHeight="1" x14ac:dyDescent="0.25">
      <c r="U747" s="1"/>
      <c r="Y747" s="62"/>
    </row>
    <row r="748" spans="21:25" ht="15.75" customHeight="1" x14ac:dyDescent="0.25">
      <c r="U748" s="1"/>
      <c r="Y748" s="62"/>
    </row>
    <row r="749" spans="21:25" ht="15.75" customHeight="1" x14ac:dyDescent="0.25">
      <c r="U749" s="1"/>
      <c r="Y749" s="62"/>
    </row>
    <row r="750" spans="21:25" ht="15.75" customHeight="1" x14ac:dyDescent="0.25">
      <c r="U750" s="1"/>
      <c r="Y750" s="62"/>
    </row>
    <row r="751" spans="21:25" ht="15.75" customHeight="1" x14ac:dyDescent="0.25">
      <c r="U751" s="1"/>
      <c r="Y751" s="62"/>
    </row>
    <row r="752" spans="21:25" ht="15.75" customHeight="1" x14ac:dyDescent="0.25">
      <c r="U752" s="1"/>
      <c r="Y752" s="62"/>
    </row>
    <row r="753" spans="21:25" ht="15.75" customHeight="1" x14ac:dyDescent="0.25">
      <c r="U753" s="1"/>
      <c r="Y753" s="62"/>
    </row>
    <row r="754" spans="21:25" ht="15.75" customHeight="1" x14ac:dyDescent="0.25">
      <c r="U754" s="1"/>
      <c r="Y754" s="62"/>
    </row>
    <row r="755" spans="21:25" ht="15.75" customHeight="1" x14ac:dyDescent="0.25">
      <c r="U755" s="1"/>
      <c r="Y755" s="62"/>
    </row>
    <row r="756" spans="21:25" ht="15.75" customHeight="1" x14ac:dyDescent="0.25">
      <c r="U756" s="1"/>
      <c r="Y756" s="62"/>
    </row>
    <row r="757" spans="21:25" ht="15.75" customHeight="1" x14ac:dyDescent="0.25">
      <c r="U757" s="1"/>
      <c r="Y757" s="62"/>
    </row>
    <row r="758" spans="21:25" ht="15.75" customHeight="1" x14ac:dyDescent="0.25">
      <c r="U758" s="1"/>
      <c r="Y758" s="62"/>
    </row>
    <row r="759" spans="21:25" ht="15.75" customHeight="1" x14ac:dyDescent="0.25">
      <c r="U759" s="1"/>
      <c r="Y759" s="62"/>
    </row>
    <row r="760" spans="21:25" ht="15.75" customHeight="1" x14ac:dyDescent="0.25">
      <c r="U760" s="1"/>
      <c r="Y760" s="62"/>
    </row>
    <row r="761" spans="21:25" ht="15.75" customHeight="1" x14ac:dyDescent="0.25">
      <c r="U761" s="1"/>
      <c r="Y761" s="62"/>
    </row>
    <row r="762" spans="21:25" ht="15.75" customHeight="1" x14ac:dyDescent="0.25">
      <c r="U762" s="1"/>
      <c r="Y762" s="62"/>
    </row>
    <row r="763" spans="21:25" ht="15.75" customHeight="1" x14ac:dyDescent="0.25">
      <c r="U763" s="1"/>
      <c r="Y763" s="62"/>
    </row>
    <row r="764" spans="21:25" ht="15.75" customHeight="1" x14ac:dyDescent="0.25">
      <c r="U764" s="1"/>
      <c r="Y764" s="62"/>
    </row>
    <row r="765" spans="21:25" ht="15.75" customHeight="1" x14ac:dyDescent="0.25">
      <c r="U765" s="1"/>
      <c r="Y765" s="62"/>
    </row>
    <row r="766" spans="21:25" ht="15.75" customHeight="1" x14ac:dyDescent="0.25">
      <c r="U766" s="1"/>
      <c r="Y766" s="62"/>
    </row>
    <row r="767" spans="21:25" ht="15.75" customHeight="1" x14ac:dyDescent="0.25">
      <c r="U767" s="1"/>
      <c r="Y767" s="62"/>
    </row>
    <row r="768" spans="21:25" ht="15.75" customHeight="1" x14ac:dyDescent="0.25">
      <c r="U768" s="1"/>
      <c r="Y768" s="62"/>
    </row>
    <row r="769" spans="21:25" ht="15.75" customHeight="1" x14ac:dyDescent="0.25">
      <c r="U769" s="1"/>
      <c r="Y769" s="62"/>
    </row>
    <row r="770" spans="21:25" ht="15.75" customHeight="1" x14ac:dyDescent="0.25">
      <c r="U770" s="1"/>
      <c r="Y770" s="62"/>
    </row>
    <row r="771" spans="21:25" ht="15.75" customHeight="1" x14ac:dyDescent="0.25">
      <c r="U771" s="1"/>
      <c r="Y771" s="62"/>
    </row>
    <row r="772" spans="21:25" ht="15.75" customHeight="1" x14ac:dyDescent="0.25">
      <c r="U772" s="1"/>
      <c r="Y772" s="62"/>
    </row>
    <row r="773" spans="21:25" ht="15.75" customHeight="1" x14ac:dyDescent="0.25">
      <c r="U773" s="1"/>
      <c r="Y773" s="62"/>
    </row>
    <row r="774" spans="21:25" ht="15.75" customHeight="1" x14ac:dyDescent="0.25">
      <c r="U774" s="1"/>
      <c r="Y774" s="62"/>
    </row>
    <row r="775" spans="21:25" ht="15.75" customHeight="1" x14ac:dyDescent="0.25">
      <c r="U775" s="1"/>
      <c r="Y775" s="62"/>
    </row>
    <row r="776" spans="21:25" ht="15.75" customHeight="1" x14ac:dyDescent="0.25">
      <c r="U776" s="1"/>
      <c r="Y776" s="62"/>
    </row>
    <row r="777" spans="21:25" ht="15.75" customHeight="1" x14ac:dyDescent="0.25">
      <c r="U777" s="1"/>
      <c r="Y777" s="62"/>
    </row>
    <row r="778" spans="21:25" ht="15.75" customHeight="1" x14ac:dyDescent="0.25">
      <c r="U778" s="1"/>
      <c r="Y778" s="62"/>
    </row>
    <row r="779" spans="21:25" ht="15.75" customHeight="1" x14ac:dyDescent="0.25">
      <c r="U779" s="1"/>
      <c r="Y779" s="62"/>
    </row>
    <row r="780" spans="21:25" ht="15.75" customHeight="1" x14ac:dyDescent="0.25">
      <c r="U780" s="1"/>
      <c r="Y780" s="62"/>
    </row>
    <row r="781" spans="21:25" ht="15.75" customHeight="1" x14ac:dyDescent="0.25">
      <c r="U781" s="1"/>
      <c r="Y781" s="62"/>
    </row>
    <row r="782" spans="21:25" ht="15.75" customHeight="1" x14ac:dyDescent="0.25">
      <c r="U782" s="1"/>
      <c r="Y782" s="62"/>
    </row>
    <row r="783" spans="21:25" ht="15.75" customHeight="1" x14ac:dyDescent="0.25">
      <c r="U783" s="1"/>
      <c r="Y783" s="62"/>
    </row>
    <row r="784" spans="21:25" ht="15.75" customHeight="1" x14ac:dyDescent="0.25">
      <c r="U784" s="1"/>
      <c r="Y784" s="62"/>
    </row>
    <row r="785" spans="21:25" ht="15.75" customHeight="1" x14ac:dyDescent="0.25">
      <c r="U785" s="1"/>
      <c r="Y785" s="62"/>
    </row>
    <row r="786" spans="21:25" ht="15.75" customHeight="1" x14ac:dyDescent="0.25">
      <c r="U786" s="1"/>
      <c r="Y786" s="62"/>
    </row>
    <row r="787" spans="21:25" ht="15.75" customHeight="1" x14ac:dyDescent="0.25">
      <c r="U787" s="1"/>
      <c r="Y787" s="62"/>
    </row>
    <row r="788" spans="21:25" ht="15.75" customHeight="1" x14ac:dyDescent="0.25">
      <c r="U788" s="1"/>
      <c r="Y788" s="62"/>
    </row>
    <row r="789" spans="21:25" ht="15.75" customHeight="1" x14ac:dyDescent="0.25">
      <c r="U789" s="1"/>
      <c r="Y789" s="62"/>
    </row>
    <row r="790" spans="21:25" ht="15.75" customHeight="1" x14ac:dyDescent="0.25">
      <c r="U790" s="1"/>
      <c r="Y790" s="62"/>
    </row>
    <row r="791" spans="21:25" ht="15.75" customHeight="1" x14ac:dyDescent="0.25">
      <c r="U791" s="1"/>
      <c r="Y791" s="62"/>
    </row>
    <row r="792" spans="21:25" ht="15.75" customHeight="1" x14ac:dyDescent="0.25">
      <c r="U792" s="1"/>
      <c r="Y792" s="62"/>
    </row>
    <row r="793" spans="21:25" ht="15.75" customHeight="1" x14ac:dyDescent="0.25">
      <c r="U793" s="1"/>
      <c r="Y793" s="62"/>
    </row>
    <row r="794" spans="21:25" ht="15.75" customHeight="1" x14ac:dyDescent="0.25">
      <c r="U794" s="1"/>
      <c r="Y794" s="62"/>
    </row>
    <row r="795" spans="21:25" ht="15.75" customHeight="1" x14ac:dyDescent="0.25">
      <c r="U795" s="1"/>
      <c r="Y795" s="62"/>
    </row>
    <row r="796" spans="21:25" ht="15.75" customHeight="1" x14ac:dyDescent="0.25">
      <c r="U796" s="1"/>
      <c r="Y796" s="62"/>
    </row>
    <row r="797" spans="21:25" ht="15.75" customHeight="1" x14ac:dyDescent="0.25">
      <c r="U797" s="1"/>
      <c r="Y797" s="62"/>
    </row>
    <row r="798" spans="21:25" ht="15.75" customHeight="1" x14ac:dyDescent="0.25">
      <c r="U798" s="1"/>
      <c r="Y798" s="62"/>
    </row>
    <row r="799" spans="21:25" ht="15.75" customHeight="1" x14ac:dyDescent="0.25">
      <c r="U799" s="1"/>
      <c r="Y799" s="62"/>
    </row>
    <row r="800" spans="21:25" ht="15.75" customHeight="1" x14ac:dyDescent="0.25">
      <c r="U800" s="1"/>
      <c r="Y800" s="62"/>
    </row>
    <row r="801" spans="21:25" ht="15.75" customHeight="1" x14ac:dyDescent="0.25">
      <c r="U801" s="1"/>
      <c r="Y801" s="62"/>
    </row>
    <row r="802" spans="21:25" ht="15.75" customHeight="1" x14ac:dyDescent="0.25">
      <c r="U802" s="1"/>
      <c r="Y802" s="62"/>
    </row>
    <row r="803" spans="21:25" ht="15.75" customHeight="1" x14ac:dyDescent="0.25">
      <c r="U803" s="1"/>
      <c r="Y803" s="62"/>
    </row>
    <row r="804" spans="21:25" ht="15.75" customHeight="1" x14ac:dyDescent="0.25">
      <c r="U804" s="1"/>
      <c r="Y804" s="62"/>
    </row>
    <row r="805" spans="21:25" ht="15.75" customHeight="1" x14ac:dyDescent="0.25">
      <c r="U805" s="1"/>
      <c r="Y805" s="62"/>
    </row>
    <row r="806" spans="21:25" ht="15.75" customHeight="1" x14ac:dyDescent="0.25">
      <c r="U806" s="1"/>
      <c r="Y806" s="62"/>
    </row>
    <row r="807" spans="21:25" ht="15.75" customHeight="1" x14ac:dyDescent="0.25">
      <c r="U807" s="1"/>
      <c r="Y807" s="62"/>
    </row>
    <row r="808" spans="21:25" ht="15.75" customHeight="1" x14ac:dyDescent="0.25">
      <c r="U808" s="1"/>
      <c r="Y808" s="62"/>
    </row>
    <row r="809" spans="21:25" ht="15.75" customHeight="1" x14ac:dyDescent="0.25">
      <c r="U809" s="1"/>
      <c r="Y809" s="62"/>
    </row>
    <row r="810" spans="21:25" ht="15.75" customHeight="1" x14ac:dyDescent="0.25">
      <c r="U810" s="1"/>
      <c r="Y810" s="62"/>
    </row>
    <row r="811" spans="21:25" ht="15.75" customHeight="1" x14ac:dyDescent="0.25">
      <c r="U811" s="1"/>
      <c r="Y811" s="62"/>
    </row>
    <row r="812" spans="21:25" ht="15.75" customHeight="1" x14ac:dyDescent="0.25">
      <c r="U812" s="1"/>
      <c r="Y812" s="62"/>
    </row>
    <row r="813" spans="21:25" ht="15.75" customHeight="1" x14ac:dyDescent="0.25">
      <c r="U813" s="1"/>
      <c r="Y813" s="62"/>
    </row>
    <row r="814" spans="21:25" ht="15.75" customHeight="1" x14ac:dyDescent="0.25">
      <c r="U814" s="1"/>
      <c r="Y814" s="62"/>
    </row>
    <row r="815" spans="21:25" ht="15.75" customHeight="1" x14ac:dyDescent="0.25">
      <c r="U815" s="1"/>
      <c r="Y815" s="62"/>
    </row>
    <row r="816" spans="21:25" ht="15.75" customHeight="1" x14ac:dyDescent="0.25">
      <c r="U816" s="1"/>
      <c r="Y816" s="62"/>
    </row>
    <row r="817" spans="21:25" ht="15.75" customHeight="1" x14ac:dyDescent="0.25">
      <c r="U817" s="1"/>
      <c r="Y817" s="62"/>
    </row>
    <row r="818" spans="21:25" ht="15.75" customHeight="1" x14ac:dyDescent="0.25">
      <c r="U818" s="1"/>
      <c r="Y818" s="62"/>
    </row>
    <row r="819" spans="21:25" ht="15.75" customHeight="1" x14ac:dyDescent="0.25">
      <c r="U819" s="1"/>
      <c r="Y819" s="62"/>
    </row>
    <row r="820" spans="21:25" ht="15.75" customHeight="1" x14ac:dyDescent="0.25">
      <c r="U820" s="1"/>
      <c r="Y820" s="62"/>
    </row>
    <row r="821" spans="21:25" ht="15.75" customHeight="1" x14ac:dyDescent="0.25">
      <c r="U821" s="1"/>
      <c r="Y821" s="62"/>
    </row>
    <row r="822" spans="21:25" ht="15.75" customHeight="1" x14ac:dyDescent="0.25">
      <c r="U822" s="1"/>
      <c r="Y822" s="62"/>
    </row>
    <row r="823" spans="21:25" ht="15.75" customHeight="1" x14ac:dyDescent="0.25">
      <c r="U823" s="1"/>
      <c r="Y823" s="62"/>
    </row>
    <row r="824" spans="21:25" ht="15.75" customHeight="1" x14ac:dyDescent="0.25">
      <c r="U824" s="1"/>
      <c r="Y824" s="62"/>
    </row>
    <row r="825" spans="21:25" ht="15.75" customHeight="1" x14ac:dyDescent="0.25">
      <c r="U825" s="1"/>
      <c r="Y825" s="62"/>
    </row>
    <row r="826" spans="21:25" ht="15.75" customHeight="1" x14ac:dyDescent="0.25">
      <c r="U826" s="1"/>
      <c r="Y826" s="62"/>
    </row>
    <row r="827" spans="21:25" ht="15.75" customHeight="1" x14ac:dyDescent="0.25">
      <c r="U827" s="1"/>
      <c r="Y827" s="62"/>
    </row>
    <row r="828" spans="21:25" ht="15.75" customHeight="1" x14ac:dyDescent="0.25">
      <c r="U828" s="1"/>
      <c r="Y828" s="62"/>
    </row>
    <row r="829" spans="21:25" ht="15.75" customHeight="1" x14ac:dyDescent="0.25">
      <c r="U829" s="1"/>
      <c r="Y829" s="62"/>
    </row>
    <row r="830" spans="21:25" ht="15.75" customHeight="1" x14ac:dyDescent="0.25">
      <c r="U830" s="1"/>
      <c r="Y830" s="62"/>
    </row>
    <row r="831" spans="21:25" ht="15.75" customHeight="1" x14ac:dyDescent="0.25">
      <c r="U831" s="1"/>
      <c r="Y831" s="62"/>
    </row>
    <row r="832" spans="21:25" ht="15.75" customHeight="1" x14ac:dyDescent="0.25">
      <c r="U832" s="1"/>
      <c r="Y832" s="62"/>
    </row>
    <row r="833" spans="21:25" ht="15.75" customHeight="1" x14ac:dyDescent="0.25">
      <c r="U833" s="1"/>
      <c r="Y833" s="62"/>
    </row>
    <row r="834" spans="21:25" ht="15.75" customHeight="1" x14ac:dyDescent="0.25">
      <c r="U834" s="1"/>
      <c r="Y834" s="62"/>
    </row>
    <row r="835" spans="21:25" ht="15.75" customHeight="1" x14ac:dyDescent="0.25">
      <c r="U835" s="1"/>
      <c r="Y835" s="62"/>
    </row>
    <row r="836" spans="21:25" ht="15.75" customHeight="1" x14ac:dyDescent="0.25">
      <c r="U836" s="1"/>
      <c r="Y836" s="62"/>
    </row>
    <row r="837" spans="21:25" ht="15.75" customHeight="1" x14ac:dyDescent="0.25">
      <c r="U837" s="1"/>
      <c r="Y837" s="62"/>
    </row>
    <row r="838" spans="21:25" ht="15.75" customHeight="1" x14ac:dyDescent="0.25">
      <c r="U838" s="1"/>
      <c r="Y838" s="62"/>
    </row>
    <row r="839" spans="21:25" ht="15.75" customHeight="1" x14ac:dyDescent="0.25">
      <c r="U839" s="1"/>
      <c r="Y839" s="62"/>
    </row>
    <row r="840" spans="21:25" ht="15.75" customHeight="1" x14ac:dyDescent="0.25">
      <c r="U840" s="1"/>
      <c r="Y840" s="62"/>
    </row>
    <row r="841" spans="21:25" ht="15.75" customHeight="1" x14ac:dyDescent="0.25">
      <c r="U841" s="1"/>
      <c r="Y841" s="62"/>
    </row>
    <row r="842" spans="21:25" ht="15.75" customHeight="1" x14ac:dyDescent="0.25">
      <c r="U842" s="1"/>
      <c r="Y842" s="62"/>
    </row>
    <row r="843" spans="21:25" ht="15.75" customHeight="1" x14ac:dyDescent="0.25">
      <c r="U843" s="1"/>
      <c r="Y843" s="62"/>
    </row>
    <row r="844" spans="21:25" ht="15.75" customHeight="1" x14ac:dyDescent="0.25">
      <c r="U844" s="1"/>
      <c r="Y844" s="62"/>
    </row>
    <row r="845" spans="21:25" ht="15.75" customHeight="1" x14ac:dyDescent="0.25">
      <c r="U845" s="1"/>
      <c r="Y845" s="62"/>
    </row>
    <row r="846" spans="21:25" ht="15.75" customHeight="1" x14ac:dyDescent="0.25">
      <c r="U846" s="1"/>
      <c r="Y846" s="62"/>
    </row>
    <row r="847" spans="21:25" ht="15.75" customHeight="1" x14ac:dyDescent="0.25">
      <c r="U847" s="1"/>
      <c r="Y847" s="62"/>
    </row>
    <row r="848" spans="21:25" ht="15.75" customHeight="1" x14ac:dyDescent="0.25">
      <c r="U848" s="1"/>
      <c r="Y848" s="62"/>
    </row>
    <row r="849" spans="21:25" ht="15.75" customHeight="1" x14ac:dyDescent="0.25">
      <c r="U849" s="1"/>
      <c r="Y849" s="62"/>
    </row>
    <row r="850" spans="21:25" ht="15.75" customHeight="1" x14ac:dyDescent="0.25">
      <c r="U850" s="1"/>
      <c r="Y850" s="62"/>
    </row>
    <row r="851" spans="21:25" ht="15.75" customHeight="1" x14ac:dyDescent="0.25">
      <c r="U851" s="1"/>
      <c r="Y851" s="62"/>
    </row>
    <row r="852" spans="21:25" ht="15.75" customHeight="1" x14ac:dyDescent="0.25">
      <c r="U852" s="1"/>
      <c r="Y852" s="62"/>
    </row>
    <row r="853" spans="21:25" ht="15.75" customHeight="1" x14ac:dyDescent="0.25">
      <c r="U853" s="1"/>
      <c r="Y853" s="62"/>
    </row>
    <row r="854" spans="21:25" ht="15.75" customHeight="1" x14ac:dyDescent="0.25">
      <c r="U854" s="1"/>
      <c r="Y854" s="62"/>
    </row>
    <row r="855" spans="21:25" ht="15.75" customHeight="1" x14ac:dyDescent="0.25">
      <c r="U855" s="1"/>
      <c r="Y855" s="62"/>
    </row>
    <row r="856" spans="21:25" ht="15.75" customHeight="1" x14ac:dyDescent="0.25">
      <c r="U856" s="1"/>
      <c r="Y856" s="62"/>
    </row>
    <row r="857" spans="21:25" ht="15.75" customHeight="1" x14ac:dyDescent="0.25">
      <c r="U857" s="1"/>
      <c r="Y857" s="62"/>
    </row>
    <row r="858" spans="21:25" ht="15.75" customHeight="1" x14ac:dyDescent="0.25">
      <c r="U858" s="1"/>
      <c r="Y858" s="62"/>
    </row>
    <row r="859" spans="21:25" ht="15.75" customHeight="1" x14ac:dyDescent="0.25">
      <c r="U859" s="1"/>
      <c r="Y859" s="62"/>
    </row>
    <row r="860" spans="21:25" ht="15.75" customHeight="1" x14ac:dyDescent="0.25">
      <c r="U860" s="1"/>
      <c r="Y860" s="62"/>
    </row>
    <row r="861" spans="21:25" ht="15.75" customHeight="1" x14ac:dyDescent="0.25">
      <c r="U861" s="1"/>
      <c r="Y861" s="62"/>
    </row>
    <row r="862" spans="21:25" ht="15.75" customHeight="1" x14ac:dyDescent="0.25">
      <c r="U862" s="1"/>
      <c r="Y862" s="62"/>
    </row>
    <row r="863" spans="21:25" ht="15.75" customHeight="1" x14ac:dyDescent="0.25">
      <c r="U863" s="1"/>
      <c r="Y863" s="62"/>
    </row>
    <row r="864" spans="21:25" ht="15.75" customHeight="1" x14ac:dyDescent="0.25">
      <c r="U864" s="1"/>
      <c r="Y864" s="62"/>
    </row>
    <row r="865" spans="21:25" ht="15.75" customHeight="1" x14ac:dyDescent="0.25">
      <c r="U865" s="1"/>
      <c r="Y865" s="62"/>
    </row>
    <row r="866" spans="21:25" ht="15.75" customHeight="1" x14ac:dyDescent="0.25">
      <c r="U866" s="1"/>
      <c r="Y866" s="62"/>
    </row>
    <row r="867" spans="21:25" ht="15.75" customHeight="1" x14ac:dyDescent="0.25">
      <c r="U867" s="1"/>
      <c r="Y867" s="62"/>
    </row>
    <row r="868" spans="21:25" ht="15.75" customHeight="1" x14ac:dyDescent="0.25">
      <c r="U868" s="1"/>
      <c r="Y868" s="62"/>
    </row>
    <row r="869" spans="21:25" ht="15.75" customHeight="1" x14ac:dyDescent="0.25">
      <c r="U869" s="1"/>
      <c r="Y869" s="62"/>
    </row>
    <row r="870" spans="21:25" ht="15.75" customHeight="1" x14ac:dyDescent="0.25">
      <c r="U870" s="1"/>
      <c r="Y870" s="62"/>
    </row>
    <row r="871" spans="21:25" ht="15.75" customHeight="1" x14ac:dyDescent="0.25">
      <c r="U871" s="1"/>
      <c r="Y871" s="62"/>
    </row>
    <row r="872" spans="21:25" ht="15.75" customHeight="1" x14ac:dyDescent="0.25">
      <c r="U872" s="1"/>
      <c r="Y872" s="62"/>
    </row>
    <row r="873" spans="21:25" ht="15.75" customHeight="1" x14ac:dyDescent="0.25">
      <c r="U873" s="1"/>
      <c r="Y873" s="62"/>
    </row>
    <row r="874" spans="21:25" ht="15.75" customHeight="1" x14ac:dyDescent="0.25">
      <c r="U874" s="1"/>
      <c r="Y874" s="62"/>
    </row>
    <row r="875" spans="21:25" ht="15.75" customHeight="1" x14ac:dyDescent="0.25">
      <c r="U875" s="1"/>
      <c r="Y875" s="62"/>
    </row>
    <row r="876" spans="21:25" ht="15.75" customHeight="1" x14ac:dyDescent="0.25">
      <c r="U876" s="1"/>
      <c r="Y876" s="62"/>
    </row>
    <row r="877" spans="21:25" ht="15.75" customHeight="1" x14ac:dyDescent="0.25">
      <c r="U877" s="1"/>
      <c r="Y877" s="62"/>
    </row>
    <row r="878" spans="21:25" ht="15.75" customHeight="1" x14ac:dyDescent="0.25">
      <c r="U878" s="1"/>
      <c r="Y878" s="62"/>
    </row>
    <row r="879" spans="21:25" ht="15.75" customHeight="1" x14ac:dyDescent="0.25">
      <c r="U879" s="1"/>
      <c r="Y879" s="62"/>
    </row>
    <row r="880" spans="21:25" ht="15.75" customHeight="1" x14ac:dyDescent="0.25">
      <c r="U880" s="1"/>
      <c r="Y880" s="62"/>
    </row>
    <row r="881" spans="21:25" ht="15.75" customHeight="1" x14ac:dyDescent="0.25">
      <c r="U881" s="1"/>
      <c r="Y881" s="62"/>
    </row>
    <row r="882" spans="21:25" ht="15.75" customHeight="1" x14ac:dyDescent="0.25">
      <c r="U882" s="1"/>
      <c r="Y882" s="62"/>
    </row>
    <row r="883" spans="21:25" ht="15.75" customHeight="1" x14ac:dyDescent="0.25">
      <c r="U883" s="1"/>
      <c r="Y883" s="62"/>
    </row>
    <row r="884" spans="21:25" ht="15.75" customHeight="1" x14ac:dyDescent="0.25">
      <c r="U884" s="1"/>
      <c r="Y884" s="62"/>
    </row>
    <row r="885" spans="21:25" ht="15.75" customHeight="1" x14ac:dyDescent="0.25">
      <c r="U885" s="1"/>
      <c r="Y885" s="62"/>
    </row>
    <row r="886" spans="21:25" ht="15.75" customHeight="1" x14ac:dyDescent="0.25">
      <c r="U886" s="1"/>
      <c r="Y886" s="62"/>
    </row>
    <row r="887" spans="21:25" ht="15.75" customHeight="1" x14ac:dyDescent="0.25">
      <c r="U887" s="1"/>
      <c r="Y887" s="62"/>
    </row>
    <row r="888" spans="21:25" ht="15.75" customHeight="1" x14ac:dyDescent="0.25">
      <c r="U888" s="1"/>
      <c r="Y888" s="62"/>
    </row>
    <row r="889" spans="21:25" ht="15.75" customHeight="1" x14ac:dyDescent="0.25">
      <c r="U889" s="1"/>
      <c r="Y889" s="62"/>
    </row>
    <row r="890" spans="21:25" ht="15.75" customHeight="1" x14ac:dyDescent="0.25">
      <c r="U890" s="1"/>
      <c r="Y890" s="62"/>
    </row>
    <row r="891" spans="21:25" ht="15.75" customHeight="1" x14ac:dyDescent="0.25">
      <c r="U891" s="1"/>
      <c r="Y891" s="62"/>
    </row>
    <row r="892" spans="21:25" ht="15.75" customHeight="1" x14ac:dyDescent="0.25">
      <c r="U892" s="1"/>
      <c r="Y892" s="62"/>
    </row>
    <row r="893" spans="21:25" ht="15.75" customHeight="1" x14ac:dyDescent="0.25">
      <c r="U893" s="1"/>
      <c r="Y893" s="62"/>
    </row>
    <row r="894" spans="21:25" ht="15.75" customHeight="1" x14ac:dyDescent="0.25">
      <c r="U894" s="1"/>
      <c r="Y894" s="62"/>
    </row>
    <row r="895" spans="21:25" ht="15.75" customHeight="1" x14ac:dyDescent="0.25">
      <c r="U895" s="1"/>
      <c r="Y895" s="62"/>
    </row>
    <row r="896" spans="21:25" ht="15.75" customHeight="1" x14ac:dyDescent="0.25">
      <c r="U896" s="1"/>
      <c r="Y896" s="62"/>
    </row>
    <row r="897" spans="21:25" ht="15.75" customHeight="1" x14ac:dyDescent="0.25">
      <c r="U897" s="1"/>
      <c r="Y897" s="62"/>
    </row>
    <row r="898" spans="21:25" ht="15.75" customHeight="1" x14ac:dyDescent="0.25">
      <c r="U898" s="1"/>
      <c r="Y898" s="62"/>
    </row>
    <row r="899" spans="21:25" ht="15.75" customHeight="1" x14ac:dyDescent="0.25">
      <c r="U899" s="1"/>
      <c r="Y899" s="62"/>
    </row>
    <row r="900" spans="21:25" ht="15.75" customHeight="1" x14ac:dyDescent="0.25">
      <c r="U900" s="1"/>
      <c r="Y900" s="62"/>
    </row>
    <row r="901" spans="21:25" ht="15.75" customHeight="1" x14ac:dyDescent="0.25">
      <c r="U901" s="1"/>
      <c r="Y901" s="62"/>
    </row>
    <row r="902" spans="21:25" ht="15.75" customHeight="1" x14ac:dyDescent="0.25">
      <c r="U902" s="1"/>
      <c r="Y902" s="62"/>
    </row>
    <row r="903" spans="21:25" ht="15.75" customHeight="1" x14ac:dyDescent="0.25">
      <c r="U903" s="1"/>
      <c r="Y903" s="62"/>
    </row>
    <row r="904" spans="21:25" ht="15.75" customHeight="1" x14ac:dyDescent="0.25">
      <c r="U904" s="1"/>
      <c r="Y904" s="62"/>
    </row>
    <row r="905" spans="21:25" ht="15.75" customHeight="1" x14ac:dyDescent="0.25">
      <c r="U905" s="1"/>
      <c r="Y905" s="62"/>
    </row>
    <row r="906" spans="21:25" ht="15.75" customHeight="1" x14ac:dyDescent="0.25">
      <c r="U906" s="1"/>
      <c r="Y906" s="62"/>
    </row>
    <row r="907" spans="21:25" ht="15.75" customHeight="1" x14ac:dyDescent="0.25">
      <c r="U907" s="1"/>
      <c r="Y907" s="62"/>
    </row>
    <row r="908" spans="21:25" ht="15.75" customHeight="1" x14ac:dyDescent="0.25">
      <c r="U908" s="1"/>
      <c r="Y908" s="62"/>
    </row>
    <row r="909" spans="21:25" ht="15.75" customHeight="1" x14ac:dyDescent="0.25">
      <c r="U909" s="1"/>
      <c r="Y909" s="62"/>
    </row>
    <row r="910" spans="21:25" ht="15.75" customHeight="1" x14ac:dyDescent="0.25">
      <c r="U910" s="1"/>
      <c r="Y910" s="62"/>
    </row>
    <row r="911" spans="21:25" ht="15.75" customHeight="1" x14ac:dyDescent="0.25">
      <c r="U911" s="1"/>
      <c r="Y911" s="62"/>
    </row>
    <row r="912" spans="21:25" ht="15.75" customHeight="1" x14ac:dyDescent="0.25">
      <c r="U912" s="1"/>
      <c r="Y912" s="62"/>
    </row>
    <row r="913" spans="21:25" ht="15.75" customHeight="1" x14ac:dyDescent="0.25">
      <c r="U913" s="1"/>
      <c r="Y913" s="62"/>
    </row>
    <row r="914" spans="21:25" ht="15.75" customHeight="1" x14ac:dyDescent="0.25">
      <c r="U914" s="1"/>
      <c r="Y914" s="62"/>
    </row>
    <row r="915" spans="21:25" ht="15.75" customHeight="1" x14ac:dyDescent="0.25">
      <c r="U915" s="1"/>
      <c r="Y915" s="62"/>
    </row>
    <row r="916" spans="21:25" ht="15.75" customHeight="1" x14ac:dyDescent="0.25">
      <c r="U916" s="1"/>
      <c r="Y916" s="62"/>
    </row>
    <row r="917" spans="21:25" ht="15.75" customHeight="1" x14ac:dyDescent="0.25">
      <c r="U917" s="1"/>
      <c r="Y917" s="62"/>
    </row>
    <row r="918" spans="21:25" ht="15.75" customHeight="1" x14ac:dyDescent="0.25">
      <c r="U918" s="1"/>
      <c r="Y918" s="62"/>
    </row>
    <row r="919" spans="21:25" ht="15.75" customHeight="1" x14ac:dyDescent="0.25">
      <c r="U919" s="1"/>
      <c r="Y919" s="62"/>
    </row>
    <row r="920" spans="21:25" ht="15.75" customHeight="1" x14ac:dyDescent="0.25">
      <c r="U920" s="1"/>
      <c r="Y920" s="62"/>
    </row>
    <row r="921" spans="21:25" ht="15.75" customHeight="1" x14ac:dyDescent="0.25">
      <c r="U921" s="1"/>
      <c r="Y921" s="62"/>
    </row>
    <row r="922" spans="21:25" ht="15.75" customHeight="1" x14ac:dyDescent="0.25">
      <c r="U922" s="1"/>
      <c r="Y922" s="62"/>
    </row>
    <row r="923" spans="21:25" ht="15.75" customHeight="1" x14ac:dyDescent="0.25">
      <c r="U923" s="1"/>
      <c r="Y923" s="62"/>
    </row>
    <row r="924" spans="21:25" ht="15.75" customHeight="1" x14ac:dyDescent="0.25">
      <c r="U924" s="1"/>
      <c r="Y924" s="62"/>
    </row>
    <row r="925" spans="21:25" ht="15.75" customHeight="1" x14ac:dyDescent="0.25">
      <c r="U925" s="1"/>
      <c r="Y925" s="62"/>
    </row>
    <row r="926" spans="21:25" ht="15.75" customHeight="1" x14ac:dyDescent="0.25">
      <c r="U926" s="1"/>
      <c r="Y926" s="62"/>
    </row>
    <row r="927" spans="21:25" ht="15.75" customHeight="1" x14ac:dyDescent="0.25">
      <c r="U927" s="1"/>
      <c r="Y927" s="62"/>
    </row>
    <row r="928" spans="21:25" ht="15.75" customHeight="1" x14ac:dyDescent="0.25">
      <c r="U928" s="1"/>
      <c r="Y928" s="62"/>
    </row>
    <row r="929" spans="21:25" ht="15.75" customHeight="1" x14ac:dyDescent="0.25">
      <c r="U929" s="1"/>
      <c r="Y929" s="62"/>
    </row>
    <row r="930" spans="21:25" ht="15.75" customHeight="1" x14ac:dyDescent="0.25">
      <c r="U930" s="1"/>
      <c r="Y930" s="62"/>
    </row>
    <row r="931" spans="21:25" ht="15.75" customHeight="1" x14ac:dyDescent="0.25">
      <c r="U931" s="1"/>
      <c r="Y931" s="62"/>
    </row>
    <row r="932" spans="21:25" ht="15.75" customHeight="1" x14ac:dyDescent="0.25">
      <c r="U932" s="1"/>
      <c r="Y932" s="62"/>
    </row>
    <row r="933" spans="21:25" ht="15.75" customHeight="1" x14ac:dyDescent="0.25">
      <c r="U933" s="1"/>
      <c r="Y933" s="62"/>
    </row>
    <row r="934" spans="21:25" ht="15.75" customHeight="1" x14ac:dyDescent="0.25">
      <c r="U934" s="1"/>
      <c r="Y934" s="62"/>
    </row>
    <row r="935" spans="21:25" ht="15.75" customHeight="1" x14ac:dyDescent="0.25">
      <c r="U935" s="1"/>
      <c r="Y935" s="62"/>
    </row>
    <row r="936" spans="21:25" ht="15.75" customHeight="1" x14ac:dyDescent="0.25">
      <c r="U936" s="1"/>
      <c r="Y936" s="62"/>
    </row>
    <row r="937" spans="21:25" ht="15.75" customHeight="1" x14ac:dyDescent="0.25">
      <c r="U937" s="1"/>
      <c r="Y937" s="62"/>
    </row>
    <row r="938" spans="21:25" ht="15.75" customHeight="1" x14ac:dyDescent="0.25">
      <c r="U938" s="1"/>
      <c r="Y938" s="62"/>
    </row>
    <row r="939" spans="21:25" ht="15.75" customHeight="1" x14ac:dyDescent="0.25">
      <c r="U939" s="1"/>
      <c r="Y939" s="62"/>
    </row>
    <row r="940" spans="21:25" ht="15.75" customHeight="1" x14ac:dyDescent="0.25">
      <c r="U940" s="1"/>
      <c r="Y940" s="62"/>
    </row>
    <row r="941" spans="21:25" ht="15.75" customHeight="1" x14ac:dyDescent="0.25">
      <c r="U941" s="1"/>
      <c r="Y941" s="62"/>
    </row>
    <row r="942" spans="21:25" ht="15.75" customHeight="1" x14ac:dyDescent="0.25">
      <c r="U942" s="1"/>
      <c r="Y942" s="62"/>
    </row>
    <row r="943" spans="21:25" ht="15.75" customHeight="1" x14ac:dyDescent="0.25">
      <c r="U943" s="1"/>
      <c r="Y943" s="62"/>
    </row>
    <row r="944" spans="21:25" ht="15.75" customHeight="1" x14ac:dyDescent="0.25">
      <c r="U944" s="1"/>
      <c r="Y944" s="62"/>
    </row>
    <row r="945" spans="21:25" ht="15.75" customHeight="1" x14ac:dyDescent="0.25">
      <c r="U945" s="1"/>
      <c r="Y945" s="62"/>
    </row>
    <row r="946" spans="21:25" ht="15.75" customHeight="1" x14ac:dyDescent="0.25">
      <c r="U946" s="1"/>
      <c r="Y946" s="62"/>
    </row>
    <row r="947" spans="21:25" ht="15.75" customHeight="1" x14ac:dyDescent="0.25">
      <c r="U947" s="1"/>
      <c r="Y947" s="62"/>
    </row>
    <row r="948" spans="21:25" ht="15.75" customHeight="1" x14ac:dyDescent="0.25">
      <c r="U948" s="1"/>
      <c r="Y948" s="62"/>
    </row>
    <row r="949" spans="21:25" ht="15.75" customHeight="1" x14ac:dyDescent="0.25">
      <c r="U949" s="1"/>
      <c r="Y949" s="62"/>
    </row>
    <row r="950" spans="21:25" ht="15.75" customHeight="1" x14ac:dyDescent="0.25">
      <c r="U950" s="1"/>
      <c r="Y950" s="62"/>
    </row>
    <row r="951" spans="21:25" ht="15.75" customHeight="1" x14ac:dyDescent="0.25">
      <c r="U951" s="1"/>
      <c r="Y951" s="62"/>
    </row>
    <row r="952" spans="21:25" ht="15.75" customHeight="1" x14ac:dyDescent="0.25">
      <c r="U952" s="1"/>
      <c r="Y952" s="62"/>
    </row>
    <row r="953" spans="21:25" ht="15.75" customHeight="1" x14ac:dyDescent="0.25">
      <c r="U953" s="1"/>
      <c r="Y953" s="62"/>
    </row>
    <row r="954" spans="21:25" ht="15.75" customHeight="1" x14ac:dyDescent="0.25">
      <c r="U954" s="1"/>
      <c r="Y954" s="62"/>
    </row>
    <row r="955" spans="21:25" ht="15.75" customHeight="1" x14ac:dyDescent="0.25">
      <c r="U955" s="1"/>
      <c r="Y955" s="62"/>
    </row>
    <row r="956" spans="21:25" ht="15.75" customHeight="1" x14ac:dyDescent="0.25">
      <c r="U956" s="1"/>
      <c r="Y956" s="62"/>
    </row>
    <row r="957" spans="21:25" ht="15.75" customHeight="1" x14ac:dyDescent="0.25">
      <c r="U957" s="1"/>
      <c r="Y957" s="62"/>
    </row>
    <row r="958" spans="21:25" ht="15.75" customHeight="1" x14ac:dyDescent="0.25">
      <c r="U958" s="1"/>
      <c r="Y958" s="62"/>
    </row>
    <row r="959" spans="21:25" ht="15.75" customHeight="1" x14ac:dyDescent="0.25">
      <c r="U959" s="1"/>
      <c r="Y959" s="62"/>
    </row>
    <row r="960" spans="21:25" ht="15.75" customHeight="1" x14ac:dyDescent="0.25">
      <c r="U960" s="1"/>
      <c r="Y960" s="62"/>
    </row>
    <row r="961" spans="21:25" ht="15.75" customHeight="1" x14ac:dyDescent="0.25">
      <c r="U961" s="1"/>
      <c r="Y961" s="62"/>
    </row>
    <row r="962" spans="21:25" ht="15.75" customHeight="1" x14ac:dyDescent="0.25">
      <c r="U962" s="1"/>
      <c r="Y962" s="62"/>
    </row>
    <row r="963" spans="21:25" ht="15.75" customHeight="1" x14ac:dyDescent="0.25">
      <c r="U963" s="1"/>
      <c r="Y963" s="62"/>
    </row>
    <row r="964" spans="21:25" ht="15.75" customHeight="1" x14ac:dyDescent="0.25">
      <c r="U964" s="1"/>
      <c r="Y964" s="62"/>
    </row>
    <row r="965" spans="21:25" ht="15.75" customHeight="1" x14ac:dyDescent="0.25">
      <c r="U965" s="1"/>
      <c r="Y965" s="62"/>
    </row>
    <row r="966" spans="21:25" ht="15.75" customHeight="1" x14ac:dyDescent="0.25">
      <c r="U966" s="1"/>
      <c r="Y966" s="62"/>
    </row>
    <row r="967" spans="21:25" ht="15.75" customHeight="1" x14ac:dyDescent="0.25">
      <c r="U967" s="1"/>
      <c r="Y967" s="62"/>
    </row>
    <row r="968" spans="21:25" ht="15.75" customHeight="1" x14ac:dyDescent="0.25">
      <c r="U968" s="1"/>
      <c r="Y968" s="62"/>
    </row>
    <row r="969" spans="21:25" ht="15.75" customHeight="1" x14ac:dyDescent="0.25">
      <c r="U969" s="1"/>
      <c r="Y969" s="62"/>
    </row>
    <row r="970" spans="21:25" ht="15.75" customHeight="1" x14ac:dyDescent="0.25">
      <c r="U970" s="1"/>
      <c r="Y970" s="62"/>
    </row>
    <row r="971" spans="21:25" ht="15.75" customHeight="1" x14ac:dyDescent="0.25">
      <c r="U971" s="1"/>
      <c r="Y971" s="62"/>
    </row>
    <row r="972" spans="21:25" ht="15.75" customHeight="1" x14ac:dyDescent="0.25">
      <c r="U972" s="1"/>
      <c r="Y972" s="62"/>
    </row>
    <row r="973" spans="21:25" ht="15.75" customHeight="1" x14ac:dyDescent="0.25">
      <c r="U973" s="1"/>
      <c r="Y973" s="62"/>
    </row>
    <row r="974" spans="21:25" ht="15.75" customHeight="1" x14ac:dyDescent="0.25">
      <c r="U974" s="1"/>
      <c r="Y974" s="62"/>
    </row>
    <row r="975" spans="21:25" ht="15.75" customHeight="1" x14ac:dyDescent="0.25">
      <c r="U975" s="1"/>
      <c r="Y975" s="62"/>
    </row>
    <row r="976" spans="21:25" ht="15.75" customHeight="1" x14ac:dyDescent="0.25">
      <c r="U976" s="1"/>
      <c r="Y976" s="62"/>
    </row>
    <row r="977" spans="21:25" ht="15.75" customHeight="1" x14ac:dyDescent="0.25">
      <c r="U977" s="1"/>
      <c r="Y977" s="62"/>
    </row>
    <row r="978" spans="21:25" ht="15.75" customHeight="1" x14ac:dyDescent="0.25">
      <c r="U978" s="1"/>
      <c r="Y978" s="62"/>
    </row>
    <row r="979" spans="21:25" ht="15.75" customHeight="1" x14ac:dyDescent="0.25">
      <c r="U979" s="1"/>
      <c r="Y979" s="62"/>
    </row>
    <row r="980" spans="21:25" ht="15.75" customHeight="1" x14ac:dyDescent="0.25">
      <c r="U980" s="1"/>
      <c r="Y980" s="62"/>
    </row>
    <row r="981" spans="21:25" ht="15.75" customHeight="1" x14ac:dyDescent="0.25">
      <c r="U981" s="1"/>
      <c r="Y981" s="62"/>
    </row>
    <row r="982" spans="21:25" ht="15.75" customHeight="1" x14ac:dyDescent="0.25">
      <c r="U982" s="1"/>
      <c r="Y982" s="62"/>
    </row>
    <row r="983" spans="21:25" ht="15.75" customHeight="1" x14ac:dyDescent="0.25">
      <c r="U983" s="1"/>
      <c r="Y983" s="62"/>
    </row>
    <row r="984" spans="21:25" ht="15.75" customHeight="1" x14ac:dyDescent="0.25">
      <c r="U984" s="1"/>
      <c r="Y984" s="62"/>
    </row>
    <row r="985" spans="21:25" ht="15.75" customHeight="1" x14ac:dyDescent="0.25">
      <c r="U985" s="1"/>
      <c r="Y985" s="62"/>
    </row>
    <row r="986" spans="21:25" ht="15.75" customHeight="1" x14ac:dyDescent="0.25">
      <c r="U986" s="1"/>
      <c r="Y986" s="62"/>
    </row>
    <row r="987" spans="21:25" ht="15.75" customHeight="1" x14ac:dyDescent="0.25">
      <c r="U987" s="1"/>
      <c r="Y987" s="62"/>
    </row>
    <row r="988" spans="21:25" ht="15.75" customHeight="1" x14ac:dyDescent="0.25">
      <c r="U988" s="1"/>
      <c r="Y988" s="62"/>
    </row>
    <row r="989" spans="21:25" ht="15.75" customHeight="1" x14ac:dyDescent="0.25">
      <c r="U989" s="1"/>
      <c r="Y989" s="62"/>
    </row>
    <row r="990" spans="21:25" ht="15.75" customHeight="1" x14ac:dyDescent="0.25">
      <c r="U990" s="1"/>
      <c r="Y990" s="62"/>
    </row>
    <row r="991" spans="21:25" ht="15.75" customHeight="1" x14ac:dyDescent="0.25">
      <c r="U991" s="1"/>
      <c r="Y991" s="62"/>
    </row>
    <row r="992" spans="21:25" ht="15.75" customHeight="1" x14ac:dyDescent="0.25">
      <c r="U992" s="1"/>
      <c r="Y992" s="62"/>
    </row>
    <row r="993" spans="21:25" ht="15.75" customHeight="1" x14ac:dyDescent="0.25">
      <c r="U993" s="1"/>
      <c r="Y993" s="62"/>
    </row>
    <row r="994" spans="21:25" ht="15.75" customHeight="1" x14ac:dyDescent="0.25">
      <c r="U994" s="1"/>
      <c r="Y994" s="62"/>
    </row>
    <row r="995" spans="21:25" ht="15.75" customHeight="1" x14ac:dyDescent="0.25">
      <c r="U995" s="1"/>
      <c r="Y995" s="62"/>
    </row>
    <row r="996" spans="21:25" ht="15.75" customHeight="1" x14ac:dyDescent="0.25">
      <c r="U996" s="1"/>
      <c r="Y996" s="62"/>
    </row>
    <row r="997" spans="21:25" ht="15.75" customHeight="1" x14ac:dyDescent="0.25">
      <c r="U997" s="1"/>
      <c r="Y997" s="62"/>
    </row>
    <row r="998" spans="21:25" ht="15.75" customHeight="1" x14ac:dyDescent="0.25">
      <c r="U998" s="1"/>
      <c r="Y998" s="62"/>
    </row>
    <row r="999" spans="21:25" ht="15.75" customHeight="1" x14ac:dyDescent="0.25">
      <c r="U999" s="1"/>
      <c r="Y999" s="62"/>
    </row>
    <row r="1000" spans="21:25" ht="13.8" x14ac:dyDescent="0.25">
      <c r="U1000" s="1"/>
      <c r="Y1000" s="62"/>
    </row>
  </sheetData>
  <mergeCells count="2">
    <mergeCell ref="A26:D26"/>
    <mergeCell ref="A48:E4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2.59765625" defaultRowHeight="15" customHeight="1" x14ac:dyDescent="0.25"/>
  <cols>
    <col min="1" max="26" width="5.699218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000"/>
  <sheetViews>
    <sheetView workbookViewId="0"/>
  </sheetViews>
  <sheetFormatPr defaultColWidth="12.59765625" defaultRowHeight="15" customHeight="1" x14ac:dyDescent="0.25"/>
  <cols>
    <col min="1" max="26" width="5.69921875" customWidth="1"/>
  </cols>
  <sheetData>
    <row r="2" spans="2:5" ht="15" customHeight="1" x14ac:dyDescent="0.3">
      <c r="B2" s="1" t="s">
        <v>155</v>
      </c>
      <c r="C2" s="7">
        <v>201355.68719999999</v>
      </c>
    </row>
    <row r="4" spans="2:5" ht="15" customHeight="1" x14ac:dyDescent="0.25">
      <c r="B4" s="1" t="s">
        <v>156</v>
      </c>
    </row>
    <row r="5" spans="2:5" ht="15" customHeight="1" x14ac:dyDescent="0.25">
      <c r="C5" s="1" t="s">
        <v>157</v>
      </c>
      <c r="D5" s="1" t="s">
        <v>158</v>
      </c>
      <c r="E5" s="1" t="s">
        <v>159</v>
      </c>
    </row>
    <row r="6" spans="2:5" ht="15" customHeight="1" x14ac:dyDescent="0.3">
      <c r="C6" s="1">
        <v>3.3659999999999995E-2</v>
      </c>
      <c r="D6" s="7">
        <v>0.21489</v>
      </c>
      <c r="E6" s="7">
        <v>0.51665000000000005</v>
      </c>
    </row>
    <row r="8" spans="2:5" ht="15" customHeight="1" x14ac:dyDescent="0.25">
      <c r="C8" s="1" t="s">
        <v>160</v>
      </c>
    </row>
    <row r="9" spans="2:5" ht="15" customHeight="1" x14ac:dyDescent="0.3">
      <c r="C9" s="7">
        <v>0.23480000000000001</v>
      </c>
    </row>
    <row r="11" spans="2:5" ht="14.4" x14ac:dyDescent="0.3">
      <c r="B11" s="7" t="s">
        <v>161</v>
      </c>
      <c r="C11" s="63">
        <v>2.9374999999999998E-2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00"/>
  <sheetViews>
    <sheetView workbookViewId="0"/>
  </sheetViews>
  <sheetFormatPr defaultColWidth="12.59765625" defaultRowHeight="15" customHeight="1" x14ac:dyDescent="0.25"/>
  <cols>
    <col min="1" max="1" width="5.69921875" customWidth="1"/>
    <col min="2" max="2" width="15.19921875" customWidth="1"/>
    <col min="3" max="26" width="5.69921875" customWidth="1"/>
  </cols>
  <sheetData>
    <row r="1" spans="1:22" ht="13.8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4.4" x14ac:dyDescent="0.3">
      <c r="A2" s="28"/>
      <c r="B2" s="21" t="s">
        <v>40</v>
      </c>
      <c r="C2" s="28" t="s">
        <v>41</v>
      </c>
      <c r="D2" s="28" t="s">
        <v>42</v>
      </c>
      <c r="E2" s="28" t="s">
        <v>43</v>
      </c>
      <c r="F2" s="64">
        <v>19</v>
      </c>
      <c r="G2" s="28" t="s">
        <v>44</v>
      </c>
      <c r="H2" s="28" t="s">
        <v>45</v>
      </c>
      <c r="I2" s="28" t="s">
        <v>46</v>
      </c>
      <c r="J2" s="28" t="s">
        <v>47</v>
      </c>
      <c r="K2" s="28" t="s">
        <v>48</v>
      </c>
      <c r="L2" s="28" t="s">
        <v>49</v>
      </c>
      <c r="M2" s="28" t="s">
        <v>50</v>
      </c>
      <c r="N2" s="28" t="s">
        <v>51</v>
      </c>
      <c r="O2" s="28" t="s">
        <v>52</v>
      </c>
      <c r="P2" s="28" t="s">
        <v>53</v>
      </c>
      <c r="Q2" s="28" t="s">
        <v>54</v>
      </c>
      <c r="R2" s="28" t="s">
        <v>55</v>
      </c>
      <c r="S2" s="28" t="s">
        <v>56</v>
      </c>
      <c r="T2" s="28" t="s">
        <v>57</v>
      </c>
      <c r="U2" s="28" t="s">
        <v>58</v>
      </c>
      <c r="V2" s="28"/>
    </row>
    <row r="3" spans="1:22" ht="14.4" x14ac:dyDescent="0.3">
      <c r="A3" s="28"/>
      <c r="B3" s="24" t="s">
        <v>162</v>
      </c>
      <c r="C3" s="21">
        <v>959500</v>
      </c>
      <c r="D3" s="21">
        <v>25800</v>
      </c>
      <c r="E3" s="26">
        <v>4000000</v>
      </c>
      <c r="F3" s="21">
        <v>21600</v>
      </c>
      <c r="G3" s="21">
        <v>185853</v>
      </c>
      <c r="H3" s="21">
        <v>92347</v>
      </c>
      <c r="I3" s="26">
        <v>2000000</v>
      </c>
      <c r="J3" s="26">
        <v>4000000</v>
      </c>
      <c r="K3" s="26">
        <v>1000000</v>
      </c>
      <c r="L3" s="26">
        <v>1000000</v>
      </c>
      <c r="M3" s="21">
        <v>597300</v>
      </c>
      <c r="N3" s="21">
        <v>690300</v>
      </c>
      <c r="O3" s="21">
        <v>177400</v>
      </c>
      <c r="P3" s="26">
        <v>3000000</v>
      </c>
      <c r="Q3" s="26">
        <v>1000000</v>
      </c>
      <c r="R3" s="26">
        <v>2000000</v>
      </c>
      <c r="S3" s="26">
        <v>2000000</v>
      </c>
      <c r="T3" s="21">
        <v>318100</v>
      </c>
      <c r="U3" s="26">
        <v>2000000</v>
      </c>
      <c r="V3" s="28"/>
    </row>
    <row r="4" spans="1:22" ht="14.4" x14ac:dyDescent="0.3">
      <c r="A4" s="28"/>
      <c r="B4" s="24" t="s">
        <v>163</v>
      </c>
      <c r="C4" s="65">
        <v>2610</v>
      </c>
      <c r="D4" s="65">
        <v>1821</v>
      </c>
      <c r="E4" s="65">
        <v>1742</v>
      </c>
      <c r="F4" s="65">
        <v>1833</v>
      </c>
      <c r="G4" s="65">
        <v>1794</v>
      </c>
      <c r="H4" s="65">
        <v>1794</v>
      </c>
      <c r="I4" s="65">
        <v>1908</v>
      </c>
      <c r="J4" s="65">
        <v>1945</v>
      </c>
      <c r="K4" s="65">
        <v>1951</v>
      </c>
      <c r="L4" s="65">
        <v>1964</v>
      </c>
      <c r="M4" s="65">
        <v>1848</v>
      </c>
      <c r="N4" s="65">
        <v>1791</v>
      </c>
      <c r="O4" s="65">
        <v>2185</v>
      </c>
      <c r="P4" s="65">
        <v>1770</v>
      </c>
      <c r="Q4" s="65">
        <v>1555</v>
      </c>
      <c r="R4" s="65">
        <v>1137</v>
      </c>
      <c r="S4" s="65">
        <v>1565</v>
      </c>
      <c r="T4" s="21">
        <v>1700.9</v>
      </c>
      <c r="U4" s="21">
        <v>1597.8</v>
      </c>
      <c r="V4" s="28"/>
    </row>
    <row r="5" spans="1:22" ht="14.4" x14ac:dyDescent="0.3">
      <c r="A5" s="28"/>
      <c r="B5" s="24" t="s">
        <v>164</v>
      </c>
      <c r="C5" s="66">
        <v>20.556999999999999</v>
      </c>
      <c r="D5" s="66">
        <v>180.65600000000001</v>
      </c>
      <c r="E5" s="66">
        <v>116.455</v>
      </c>
      <c r="F5" s="67">
        <v>1389.5613968638741</v>
      </c>
      <c r="G5" s="66">
        <v>245.745</v>
      </c>
      <c r="H5" s="66">
        <v>245.745</v>
      </c>
      <c r="I5" s="66">
        <v>69.569000000000003</v>
      </c>
      <c r="J5" s="66">
        <v>44.648000000000003</v>
      </c>
      <c r="K5" s="66">
        <v>79.617000000000004</v>
      </c>
      <c r="L5" s="66">
        <v>38.563000000000002</v>
      </c>
      <c r="M5" s="66">
        <v>116.95699999999999</v>
      </c>
      <c r="N5" s="66">
        <v>107.277</v>
      </c>
      <c r="O5" s="66">
        <v>563.54600000000005</v>
      </c>
      <c r="P5" s="66">
        <v>53.960999999999999</v>
      </c>
      <c r="Q5" s="66">
        <v>64.424999999999997</v>
      </c>
      <c r="R5" s="66">
        <v>42.406999999999996</v>
      </c>
      <c r="S5" s="66">
        <v>52.886000000000003</v>
      </c>
      <c r="T5" s="21">
        <v>76.346999999999994</v>
      </c>
      <c r="U5" s="21">
        <v>16.234000000000002</v>
      </c>
      <c r="V5" s="28"/>
    </row>
    <row r="6" spans="1:22" ht="13.8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4.4" x14ac:dyDescent="0.3">
      <c r="A7" s="28"/>
      <c r="B7" s="24" t="s">
        <v>165</v>
      </c>
      <c r="C7" s="21">
        <v>40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4.4" x14ac:dyDescent="0.3">
      <c r="A8" s="28"/>
      <c r="B8" s="24" t="s">
        <v>166</v>
      </c>
      <c r="C8" s="21">
        <v>44.432000000000002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3.8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4.4" x14ac:dyDescent="0.3">
      <c r="A10" s="86" t="s">
        <v>167</v>
      </c>
      <c r="B10" s="8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28"/>
    </row>
    <row r="11" spans="1:22" ht="14.4" x14ac:dyDescent="0.3">
      <c r="A11" s="7"/>
      <c r="B11" s="7" t="s">
        <v>168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63"/>
    </row>
    <row r="12" spans="1:22" ht="14.4" x14ac:dyDescent="0.3">
      <c r="A12" s="7"/>
      <c r="B12" s="7" t="s">
        <v>157</v>
      </c>
      <c r="C12" s="14">
        <v>0.67229458665085295</v>
      </c>
      <c r="D12" s="14">
        <v>0.45748208862317896</v>
      </c>
      <c r="E12" s="14">
        <v>0.442529425887631</v>
      </c>
      <c r="F12" s="14">
        <v>0.442529425887631</v>
      </c>
      <c r="G12" s="14">
        <v>0.17196505040373206</v>
      </c>
      <c r="H12" s="14">
        <v>0.52789106712876321</v>
      </c>
      <c r="I12" s="14">
        <v>0.59081329669415805</v>
      </c>
      <c r="J12" s="14">
        <v>0.41236042632692244</v>
      </c>
      <c r="K12" s="14">
        <v>0.41496061146012264</v>
      </c>
      <c r="L12" s="14">
        <v>0.47728571843901724</v>
      </c>
      <c r="M12" s="14">
        <v>5.3410955621235476E-2</v>
      </c>
      <c r="N12" s="14">
        <v>6.3110222931641702E-2</v>
      </c>
      <c r="O12" s="14">
        <v>0.17706676594851967</v>
      </c>
      <c r="P12" s="14">
        <v>0.25403962456832169</v>
      </c>
      <c r="Q12" s="14">
        <v>0.19644740990549955</v>
      </c>
      <c r="R12" s="14">
        <v>8.465315783214078E-2</v>
      </c>
      <c r="S12" s="14">
        <v>0.15839937146899391</v>
      </c>
      <c r="T12" s="14">
        <v>0.2231468695819516</v>
      </c>
      <c r="U12" s="14">
        <v>0.46358182153482441</v>
      </c>
      <c r="V12" s="63"/>
    </row>
    <row r="13" spans="1:22" ht="14.4" x14ac:dyDescent="0.3">
      <c r="A13" s="7"/>
      <c r="B13" s="7" t="s">
        <v>158</v>
      </c>
      <c r="C13" s="14">
        <v>0.29606377332905076</v>
      </c>
      <c r="D13" s="14">
        <v>0.37671916747636719</v>
      </c>
      <c r="E13" s="14">
        <v>0.47986329401428218</v>
      </c>
      <c r="F13" s="14">
        <v>0.47986329401428218</v>
      </c>
      <c r="G13" s="14">
        <v>0.65932878248382465</v>
      </c>
      <c r="H13" s="14">
        <v>0.4122808950613126</v>
      </c>
      <c r="I13" s="14">
        <v>0.37314586665928084</v>
      </c>
      <c r="J13" s="14">
        <v>0.51588560653346027</v>
      </c>
      <c r="K13" s="14">
        <v>0.5231788090117937</v>
      </c>
      <c r="L13" s="14">
        <v>0.47849425485229341</v>
      </c>
      <c r="M13" s="14">
        <v>0.62585288048174337</v>
      </c>
      <c r="N13" s="14">
        <v>0.63066909201212085</v>
      </c>
      <c r="O13" s="14">
        <v>0.67574231128162277</v>
      </c>
      <c r="P13" s="14">
        <v>0.45582266706368052</v>
      </c>
      <c r="Q13" s="14">
        <v>0.58760840225010669</v>
      </c>
      <c r="R13" s="14">
        <v>0.4078957417025848</v>
      </c>
      <c r="S13" s="14">
        <v>0.40290404956498171</v>
      </c>
      <c r="T13" s="14">
        <v>0.50773989621112925</v>
      </c>
      <c r="U13" s="14">
        <v>0.43868219910427059</v>
      </c>
      <c r="V13" s="63"/>
    </row>
    <row r="14" spans="1:22" ht="14.4" x14ac:dyDescent="0.3">
      <c r="A14" s="7"/>
      <c r="B14" s="7" t="s">
        <v>159</v>
      </c>
      <c r="C14" s="14">
        <v>3.164164002009523E-2</v>
      </c>
      <c r="D14" s="14">
        <v>0.16579874390045435</v>
      </c>
      <c r="E14" s="14">
        <v>7.760728009808765E-2</v>
      </c>
      <c r="F14" s="14">
        <v>7.760728009808765E-2</v>
      </c>
      <c r="G14" s="14">
        <v>0.16870616711244354</v>
      </c>
      <c r="H14" s="14">
        <v>5.9828037809923781E-2</v>
      </c>
      <c r="I14" s="14">
        <v>3.6040836646560895E-2</v>
      </c>
      <c r="J14" s="14">
        <v>7.1753967139616695E-2</v>
      </c>
      <c r="K14" s="14">
        <v>6.1860579528082778E-2</v>
      </c>
      <c r="L14" s="14">
        <v>4.4220026708689041E-2</v>
      </c>
      <c r="M14" s="14">
        <v>0.32073616389702059</v>
      </c>
      <c r="N14" s="14">
        <v>0.30622068505623712</v>
      </c>
      <c r="O14" s="14">
        <v>0.1471909227698576</v>
      </c>
      <c r="P14" s="14">
        <v>0.29013770836799718</v>
      </c>
      <c r="Q14" s="14">
        <v>0.21594418784439298</v>
      </c>
      <c r="R14" s="14">
        <v>0.50745110046527508</v>
      </c>
      <c r="S14" s="14">
        <v>0.43869657896602421</v>
      </c>
      <c r="T14" s="14">
        <v>0.26911323420691924</v>
      </c>
      <c r="U14" s="14">
        <v>9.7735979360904668E-2</v>
      </c>
      <c r="V14" s="63"/>
    </row>
    <row r="15" spans="1:22" ht="14.4" x14ac:dyDescent="0.3">
      <c r="A15" s="28"/>
      <c r="B15" s="28"/>
      <c r="C15" s="21"/>
      <c r="D15" s="21"/>
      <c r="E15" s="21"/>
      <c r="F15" s="21"/>
      <c r="G15" s="21"/>
      <c r="H15" s="2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63"/>
    </row>
    <row r="16" spans="1:22" ht="14.4" x14ac:dyDescent="0.3">
      <c r="A16" s="87" t="s">
        <v>169</v>
      </c>
      <c r="B16" s="82"/>
      <c r="C16" s="21"/>
      <c r="D16" s="21"/>
      <c r="E16" s="21"/>
      <c r="F16" s="21"/>
      <c r="G16" s="21"/>
      <c r="H16" s="21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63"/>
    </row>
    <row r="17" spans="1:22" ht="14.4" x14ac:dyDescent="0.3">
      <c r="A17" s="28"/>
      <c r="B17" s="28" t="s">
        <v>157</v>
      </c>
      <c r="C17" s="21">
        <v>0.71587810572389088</v>
      </c>
      <c r="D17" s="21">
        <v>0.96071924149483723</v>
      </c>
      <c r="E17" s="21">
        <v>0.74382049971162967</v>
      </c>
      <c r="F17" s="21">
        <v>0.74382049971162967</v>
      </c>
      <c r="G17" s="21">
        <v>0.91166164854200971</v>
      </c>
      <c r="H17" s="21">
        <v>0.94745516497695093</v>
      </c>
      <c r="I17" s="28">
        <v>0.98442151794351263</v>
      </c>
      <c r="J17" s="28">
        <v>0.6770287623687663</v>
      </c>
      <c r="K17" s="28">
        <v>0.92331730651436583</v>
      </c>
      <c r="L17" s="28">
        <v>0.50040947275106551</v>
      </c>
      <c r="M17" s="28">
        <v>0.66318695923019044</v>
      </c>
      <c r="N17" s="28">
        <v>0.64773295126726393</v>
      </c>
      <c r="O17" s="28">
        <v>0.53432148351028641</v>
      </c>
      <c r="P17" s="28">
        <v>0.46806780539758586</v>
      </c>
      <c r="Q17" s="28">
        <v>0.81461491682491827</v>
      </c>
      <c r="R17" s="28">
        <v>0.34860699498886444</v>
      </c>
      <c r="S17" s="28">
        <v>0.2609316620620864</v>
      </c>
      <c r="T17" s="28">
        <v>0.65974577727646089</v>
      </c>
      <c r="U17" s="28">
        <v>0.25463157992811225</v>
      </c>
      <c r="V17" s="63"/>
    </row>
    <row r="18" spans="1:22" ht="14.4" x14ac:dyDescent="0.3">
      <c r="A18" s="28"/>
      <c r="B18" s="28" t="s">
        <v>158</v>
      </c>
      <c r="C18" s="21">
        <v>0.69311410754150249</v>
      </c>
      <c r="D18" s="21">
        <v>0.84263837562826771</v>
      </c>
      <c r="E18" s="21">
        <v>0.72753052540896579</v>
      </c>
      <c r="F18" s="21">
        <v>0.72753052540896579</v>
      </c>
      <c r="G18" s="21">
        <v>0.79880214614492673</v>
      </c>
      <c r="H18" s="21">
        <v>0.77162558610037468</v>
      </c>
      <c r="I18" s="28">
        <v>0.89233866460429101</v>
      </c>
      <c r="J18" s="28">
        <v>0.54503970442667438</v>
      </c>
      <c r="K18" s="28">
        <v>0.73886862715855195</v>
      </c>
      <c r="L18" s="28">
        <v>0.49842438941618261</v>
      </c>
      <c r="M18" s="28">
        <v>0.67468281491920057</v>
      </c>
      <c r="N18" s="28">
        <v>0.55719043653810441</v>
      </c>
      <c r="O18" s="28">
        <v>0.56141183446293907</v>
      </c>
      <c r="P18" s="28">
        <v>0.45706926476389359</v>
      </c>
      <c r="Q18" s="28">
        <v>0.64304502412434916</v>
      </c>
      <c r="R18" s="28">
        <v>0.17636855645439745</v>
      </c>
      <c r="S18" s="28">
        <v>0.23138112876324343</v>
      </c>
      <c r="T18" s="28">
        <v>0.58527993747017226</v>
      </c>
      <c r="U18" s="28">
        <v>0.25834435869327282</v>
      </c>
      <c r="V18" s="28"/>
    </row>
    <row r="19" spans="1:22" ht="14.4" x14ac:dyDescent="0.3">
      <c r="A19" s="28"/>
      <c r="B19" s="28" t="s">
        <v>159</v>
      </c>
      <c r="C19" s="21">
        <v>0.62583862014252223</v>
      </c>
      <c r="D19" s="21">
        <v>0.56579333123078945</v>
      </c>
      <c r="E19" s="21">
        <v>0.68013636258935362</v>
      </c>
      <c r="F19" s="21">
        <v>0.68013636258935362</v>
      </c>
      <c r="G19" s="21">
        <v>0.69353444903235295</v>
      </c>
      <c r="H19" s="21">
        <v>0.6536727900656345</v>
      </c>
      <c r="I19" s="28">
        <v>0.78647989767418502</v>
      </c>
      <c r="J19" s="28">
        <v>0.46856699780371053</v>
      </c>
      <c r="K19" s="28">
        <v>0.58356228219280926</v>
      </c>
      <c r="L19" s="28">
        <v>0.35822419692230367</v>
      </c>
      <c r="M19" s="28">
        <v>0.63826275610510264</v>
      </c>
      <c r="N19" s="28">
        <v>0.57762310303352904</v>
      </c>
      <c r="O19" s="28">
        <v>0.51353153352465575</v>
      </c>
      <c r="P19" s="28">
        <v>0.5665197431002178</v>
      </c>
      <c r="Q19" s="28">
        <v>0.54824092434395533</v>
      </c>
      <c r="R19" s="28">
        <v>0.270975587625568</v>
      </c>
      <c r="S19" s="28">
        <v>0.40629956525926669</v>
      </c>
      <c r="T19" s="28">
        <v>0.50019278148581947</v>
      </c>
      <c r="U19" s="28">
        <v>0.3091070222289562</v>
      </c>
      <c r="V19" s="28"/>
    </row>
    <row r="20" spans="1:22" ht="14.4" x14ac:dyDescent="0.3">
      <c r="A20" s="28"/>
      <c r="B20" s="28"/>
      <c r="C20" s="21"/>
      <c r="D20" s="21"/>
      <c r="E20" s="21"/>
      <c r="F20" s="21"/>
      <c r="G20" s="21"/>
      <c r="H20" s="21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75" customHeight="1" x14ac:dyDescent="0.3">
      <c r="A21" s="88" t="s">
        <v>170</v>
      </c>
      <c r="B21" s="82"/>
      <c r="C21" s="21"/>
      <c r="D21" s="21"/>
      <c r="E21" s="21"/>
      <c r="F21" s="21"/>
      <c r="G21" s="21"/>
      <c r="H21" s="21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.75" customHeight="1" x14ac:dyDescent="0.3">
      <c r="A22" s="28"/>
      <c r="B22" s="28" t="s">
        <v>168</v>
      </c>
      <c r="C22" s="21" t="s">
        <v>41</v>
      </c>
      <c r="D22" s="21" t="s">
        <v>42</v>
      </c>
      <c r="E22" s="21" t="s">
        <v>43</v>
      </c>
      <c r="F22" s="21">
        <v>19</v>
      </c>
      <c r="G22" s="21" t="s">
        <v>44</v>
      </c>
      <c r="H22" s="21" t="s">
        <v>45</v>
      </c>
      <c r="I22" s="28" t="s">
        <v>46</v>
      </c>
      <c r="J22" s="28" t="s">
        <v>47</v>
      </c>
      <c r="K22" s="28" t="s">
        <v>48</v>
      </c>
      <c r="L22" s="28" t="s">
        <v>49</v>
      </c>
      <c r="M22" s="28" t="s">
        <v>50</v>
      </c>
      <c r="N22" s="28" t="s">
        <v>51</v>
      </c>
      <c r="O22" s="28" t="s">
        <v>52</v>
      </c>
      <c r="P22" s="28" t="s">
        <v>53</v>
      </c>
      <c r="Q22" s="28" t="s">
        <v>54</v>
      </c>
      <c r="R22" s="28" t="s">
        <v>55</v>
      </c>
      <c r="S22" s="28" t="s">
        <v>56</v>
      </c>
      <c r="T22" s="28" t="s">
        <v>57</v>
      </c>
      <c r="U22" s="28" t="s">
        <v>58</v>
      </c>
      <c r="V22" s="28"/>
    </row>
    <row r="23" spans="1:22" ht="15.75" customHeight="1" x14ac:dyDescent="0.3">
      <c r="A23" s="28" t="s">
        <v>157</v>
      </c>
      <c r="B23" s="28">
        <v>3</v>
      </c>
      <c r="C23" s="21">
        <v>-1.0984865999999999E-2</v>
      </c>
      <c r="D23" s="21">
        <v>4.5032559999999998E-3</v>
      </c>
      <c r="E23" s="21">
        <v>-9.1052300000000006E-3</v>
      </c>
      <c r="F23" s="21">
        <v>-9.1052300000000006E-3</v>
      </c>
      <c r="G23" s="21">
        <v>-1.9079889999999999E-3</v>
      </c>
      <c r="H23" s="21">
        <v>8.8288699999999995E-4</v>
      </c>
      <c r="I23" s="21">
        <v>-7.8391469999999994E-3</v>
      </c>
      <c r="J23" s="21">
        <v>-1.0090043E-2</v>
      </c>
      <c r="K23" s="21">
        <v>-7.8651699999999995E-3</v>
      </c>
      <c r="L23" s="21">
        <v>-9.4197589999999998E-3</v>
      </c>
      <c r="M23" s="21">
        <v>-2.9271560000000002E-3</v>
      </c>
      <c r="N23" s="21">
        <v>-3.6340470000000001E-3</v>
      </c>
      <c r="O23" s="21">
        <v>-6.5551899999999998E-3</v>
      </c>
      <c r="P23" s="21">
        <v>-4.2428819999999999E-3</v>
      </c>
      <c r="Q23" s="21">
        <v>-9.3835629999999993E-3</v>
      </c>
      <c r="R23" s="21">
        <v>-9.4181899999999999E-4</v>
      </c>
      <c r="S23" s="21">
        <v>-3.21875E-4</v>
      </c>
      <c r="T23" s="21">
        <v>-6.0434499999999997E-3</v>
      </c>
      <c r="U23" s="21">
        <v>-3.8446119999999999E-3</v>
      </c>
      <c r="V23" s="28"/>
    </row>
    <row r="24" spans="1:22" ht="15.75" customHeight="1" x14ac:dyDescent="0.3">
      <c r="A24" s="28" t="s">
        <v>158</v>
      </c>
      <c r="B24" s="28">
        <v>2</v>
      </c>
      <c r="C24" s="21">
        <v>8.0113600000000004E-3</v>
      </c>
      <c r="D24" s="21">
        <v>-1.0245814000000001E-2</v>
      </c>
      <c r="E24" s="21">
        <v>4.0774260000000003E-3</v>
      </c>
      <c r="F24" s="21">
        <v>4.0774260000000003E-3</v>
      </c>
      <c r="G24" s="21">
        <v>-2.8419510000000001E-3</v>
      </c>
      <c r="H24" s="21">
        <v>-4.8691159999999997E-3</v>
      </c>
      <c r="I24" s="21">
        <v>8.3058209999999997E-3</v>
      </c>
      <c r="J24" s="21">
        <v>4.5959119999999997E-3</v>
      </c>
      <c r="K24" s="21">
        <v>2.5964830000000001E-3</v>
      </c>
      <c r="L24" s="21">
        <v>4.0699430000000003E-3</v>
      </c>
      <c r="M24" s="21">
        <v>-1.2423926E-2</v>
      </c>
      <c r="N24" s="21">
        <v>-7.2775260000000003E-3</v>
      </c>
      <c r="O24" s="21">
        <v>-8.8389399999999998E-4</v>
      </c>
      <c r="P24" s="21">
        <v>-5.2635750000000004E-3</v>
      </c>
      <c r="Q24" s="21">
        <v>2.1236399999999999E-4</v>
      </c>
      <c r="R24" s="21">
        <v>-6.6036760000000002E-3</v>
      </c>
      <c r="S24" s="21">
        <v>-1.0003992999999999E-2</v>
      </c>
      <c r="T24" s="21">
        <v>-7.7622200000000002E-3</v>
      </c>
      <c r="U24" s="21">
        <v>9.3811299999999997E-4</v>
      </c>
      <c r="V24" s="28"/>
    </row>
    <row r="25" spans="1:22" ht="15.75" customHeight="1" x14ac:dyDescent="0.3">
      <c r="A25" s="28" t="s">
        <v>159</v>
      </c>
      <c r="B25" s="28">
        <v>1</v>
      </c>
      <c r="C25" s="21">
        <v>2.973505E-3</v>
      </c>
      <c r="D25" s="21">
        <v>5.742558E-3</v>
      </c>
      <c r="E25" s="21">
        <v>5.0278040000000003E-3</v>
      </c>
      <c r="F25" s="21">
        <v>5.0278040000000003E-3</v>
      </c>
      <c r="G25" s="21">
        <v>4.7499400000000002E-3</v>
      </c>
      <c r="H25" s="21">
        <v>3.986229E-3</v>
      </c>
      <c r="I25" s="21">
        <v>-4.6667399999999998E-4</v>
      </c>
      <c r="J25" s="21">
        <v>5.4941310000000002E-3</v>
      </c>
      <c r="K25" s="21">
        <v>5.2686870000000002E-3</v>
      </c>
      <c r="L25" s="21">
        <v>5.349815E-3</v>
      </c>
      <c r="M25" s="21">
        <v>1.5351082E-2</v>
      </c>
      <c r="N25" s="21">
        <v>1.0911572E-2</v>
      </c>
      <c r="O25" s="21">
        <v>7.4390840000000003E-3</v>
      </c>
      <c r="P25" s="21">
        <v>9.5064569999999994E-3</v>
      </c>
      <c r="Q25" s="21">
        <v>9.1711989999999997E-3</v>
      </c>
      <c r="R25" s="21">
        <v>7.5454959999999996E-3</v>
      </c>
      <c r="S25" s="21">
        <v>1.0325868E-2</v>
      </c>
      <c r="T25" s="21">
        <v>1.3805670000000001E-2</v>
      </c>
      <c r="U25" s="21">
        <v>2.9064989999999999E-3</v>
      </c>
      <c r="V25" s="28"/>
    </row>
    <row r="26" spans="1:22" ht="15.75" customHeight="1" x14ac:dyDescent="0.3">
      <c r="A26" s="28"/>
      <c r="B26" s="28"/>
      <c r="C26" s="21">
        <f t="shared" ref="C26:U26" si="0">SUM(C23:C25)</f>
        <v>-9.9999999903996328E-10</v>
      </c>
      <c r="D26" s="21">
        <f t="shared" si="0"/>
        <v>0</v>
      </c>
      <c r="E26" s="21">
        <f t="shared" si="0"/>
        <v>0</v>
      </c>
      <c r="F26" s="21">
        <f t="shared" si="0"/>
        <v>0</v>
      </c>
      <c r="G26" s="21">
        <f t="shared" si="0"/>
        <v>0</v>
      </c>
      <c r="H26" s="21">
        <f t="shared" si="0"/>
        <v>0</v>
      </c>
      <c r="I26" s="21">
        <f t="shared" si="0"/>
        <v>0</v>
      </c>
      <c r="J26" s="21">
        <f t="shared" si="0"/>
        <v>0</v>
      </c>
      <c r="K26" s="21">
        <f t="shared" si="0"/>
        <v>0</v>
      </c>
      <c r="L26" s="21">
        <f t="shared" si="0"/>
        <v>-9.9999999947364415E-10</v>
      </c>
      <c r="M26" s="21">
        <f t="shared" si="0"/>
        <v>0</v>
      </c>
      <c r="N26" s="21">
        <f t="shared" si="0"/>
        <v>-1.0000000012083676E-9</v>
      </c>
      <c r="O26" s="21">
        <f t="shared" si="0"/>
        <v>0</v>
      </c>
      <c r="P26" s="21">
        <f t="shared" si="0"/>
        <v>0</v>
      </c>
      <c r="Q26" s="21">
        <f t="shared" si="0"/>
        <v>0</v>
      </c>
      <c r="R26" s="21">
        <f t="shared" si="0"/>
        <v>9.9999999947364415E-10</v>
      </c>
      <c r="S26" s="21">
        <f t="shared" si="0"/>
        <v>0</v>
      </c>
      <c r="T26" s="21">
        <f t="shared" si="0"/>
        <v>0</v>
      </c>
      <c r="U26" s="21">
        <f t="shared" si="0"/>
        <v>0</v>
      </c>
      <c r="V26" s="28"/>
    </row>
    <row r="27" spans="1:22" ht="15.75" customHeight="1" x14ac:dyDescent="0.3">
      <c r="A27" s="88" t="s">
        <v>171</v>
      </c>
      <c r="B27" s="82"/>
      <c r="C27" s="21"/>
      <c r="D27" s="21"/>
      <c r="E27" s="21"/>
      <c r="F27" s="21"/>
      <c r="G27" s="21"/>
      <c r="H27" s="21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.75" customHeight="1" x14ac:dyDescent="0.3">
      <c r="A28" s="28" t="s">
        <v>171</v>
      </c>
      <c r="B28" s="28"/>
      <c r="C28" s="21" t="s">
        <v>41</v>
      </c>
      <c r="D28" s="21" t="s">
        <v>42</v>
      </c>
      <c r="E28" s="21" t="s">
        <v>43</v>
      </c>
      <c r="F28" s="21">
        <v>19</v>
      </c>
      <c r="G28" s="21" t="s">
        <v>44</v>
      </c>
      <c r="H28" s="21" t="s">
        <v>45</v>
      </c>
      <c r="I28" s="28" t="s">
        <v>46</v>
      </c>
      <c r="J28" s="28" t="s">
        <v>47</v>
      </c>
      <c r="K28" s="28" t="s">
        <v>48</v>
      </c>
      <c r="L28" s="28" t="s">
        <v>49</v>
      </c>
      <c r="M28" s="28" t="s">
        <v>50</v>
      </c>
      <c r="N28" s="28" t="s">
        <v>51</v>
      </c>
      <c r="O28" s="28" t="s">
        <v>52</v>
      </c>
      <c r="P28" s="28" t="s">
        <v>53</v>
      </c>
      <c r="Q28" s="28" t="s">
        <v>54</v>
      </c>
      <c r="R28" s="28" t="s">
        <v>55</v>
      </c>
      <c r="S28" s="28" t="s">
        <v>56</v>
      </c>
      <c r="T28" s="28" t="s">
        <v>57</v>
      </c>
      <c r="U28" s="28" t="s">
        <v>58</v>
      </c>
      <c r="V28" s="28"/>
    </row>
    <row r="29" spans="1:22" ht="15.75" customHeight="1" x14ac:dyDescent="0.3">
      <c r="A29" s="28" t="s">
        <v>157</v>
      </c>
      <c r="B29" s="28">
        <v>3</v>
      </c>
      <c r="C29" s="21">
        <v>5.1561829999999999E-3</v>
      </c>
      <c r="D29" s="21">
        <v>-3.6314699999999999E-3</v>
      </c>
      <c r="E29" s="21">
        <v>2.3748039999999999E-3</v>
      </c>
      <c r="F29" s="21">
        <v>2.3748039999999999E-3</v>
      </c>
      <c r="G29" s="21">
        <v>4.4015809999999999E-3</v>
      </c>
      <c r="H29" s="21">
        <v>2.16317E-4</v>
      </c>
      <c r="I29" s="21">
        <v>-8.3049299999999996E-4</v>
      </c>
      <c r="J29" s="21">
        <v>4.4364099999999999E-4</v>
      </c>
      <c r="K29" s="26">
        <v>-5.81545E-5</v>
      </c>
      <c r="L29" s="21">
        <v>-1.0024840000000001E-3</v>
      </c>
      <c r="M29" s="21">
        <v>5.054312E-3</v>
      </c>
      <c r="N29" s="21">
        <v>-1.0421292E-2</v>
      </c>
      <c r="O29" s="21">
        <v>1.4764016E-2</v>
      </c>
      <c r="P29" s="21">
        <v>-1.1202445E-2</v>
      </c>
      <c r="Q29" s="21">
        <v>4.9151560000000004E-3</v>
      </c>
      <c r="R29" s="21">
        <v>4.6016599999999996E-3</v>
      </c>
      <c r="S29" s="21">
        <v>-6.3626189999999999E-3</v>
      </c>
      <c r="T29" s="21">
        <v>3.496229E-3</v>
      </c>
      <c r="U29" s="21">
        <v>-1.5695539999999999E-3</v>
      </c>
      <c r="V29" s="28"/>
    </row>
    <row r="30" spans="1:22" ht="15.75" customHeight="1" x14ac:dyDescent="0.3">
      <c r="A30" s="28" t="s">
        <v>158</v>
      </c>
      <c r="B30" s="28">
        <v>2</v>
      </c>
      <c r="C30" s="21">
        <v>4.2841520000000003E-3</v>
      </c>
      <c r="D30" s="21">
        <v>-7.4569100000000004E-4</v>
      </c>
      <c r="E30" s="21">
        <v>2.4462149999999998E-3</v>
      </c>
      <c r="F30" s="21">
        <v>2.4462149999999998E-3</v>
      </c>
      <c r="G30" s="21">
        <v>-6.8763720000000004E-3</v>
      </c>
      <c r="H30" s="21">
        <v>1.717852E-3</v>
      </c>
      <c r="I30" s="21">
        <v>1.4136999999999999E-3</v>
      </c>
      <c r="J30" s="21">
        <v>1.087859E-3</v>
      </c>
      <c r="K30" s="26">
        <v>8.2494499999999994E-5</v>
      </c>
      <c r="L30" s="26">
        <v>-4.9081400000000001E-5</v>
      </c>
      <c r="M30" s="21">
        <v>6.8918570000000004E-3</v>
      </c>
      <c r="N30" s="21">
        <v>-4.2048699999999999E-4</v>
      </c>
      <c r="O30" s="21">
        <v>-4.6566660000000003E-3</v>
      </c>
      <c r="P30" s="21">
        <v>4.8536400000000002E-3</v>
      </c>
      <c r="Q30" s="21">
        <v>5.2174910000000003E-3</v>
      </c>
      <c r="R30" s="21">
        <v>3.0284890000000001E-3</v>
      </c>
      <c r="S30" s="21">
        <v>3.0206180000000001E-3</v>
      </c>
      <c r="T30" s="21">
        <v>-7.2819429999999999E-3</v>
      </c>
      <c r="U30" s="21">
        <v>-1.9624619999999999E-3</v>
      </c>
      <c r="V30" s="28"/>
    </row>
    <row r="31" spans="1:22" ht="15.75" customHeight="1" x14ac:dyDescent="0.3">
      <c r="A31" s="28" t="s">
        <v>159</v>
      </c>
      <c r="B31" s="28">
        <v>1</v>
      </c>
      <c r="C31" s="21">
        <v>1.2013579999999999E-2</v>
      </c>
      <c r="D31" s="21">
        <v>4.7880661999999997E-2</v>
      </c>
      <c r="E31" s="21">
        <v>-6.9418079999999998E-3</v>
      </c>
      <c r="F31" s="21">
        <v>-6.9418079999999998E-3</v>
      </c>
      <c r="G31" s="21">
        <v>2.2973619999999998E-3</v>
      </c>
      <c r="H31" s="21">
        <v>1.1206884E-2</v>
      </c>
      <c r="I31" s="21">
        <v>-8.6505100000000001E-3</v>
      </c>
      <c r="J31" s="21">
        <v>-4.06165E-3</v>
      </c>
      <c r="K31" s="21">
        <v>-1.1632936E-2</v>
      </c>
      <c r="L31" s="21">
        <v>1.0324300999999999E-2</v>
      </c>
      <c r="M31" s="21">
        <v>8.0551700000000004E-3</v>
      </c>
      <c r="N31" s="21">
        <v>-1.0212918E-2</v>
      </c>
      <c r="O31" s="21">
        <v>2.3668659000000002E-2</v>
      </c>
      <c r="P31" s="21">
        <v>3.029038E-3</v>
      </c>
      <c r="Q31" s="21">
        <v>3.9203579999999997E-3</v>
      </c>
      <c r="R31" s="21">
        <v>1.4213349999999999E-3</v>
      </c>
      <c r="S31" s="21">
        <v>-8.3381719999999996E-3</v>
      </c>
      <c r="T31" s="21">
        <v>-1.6363119999999998E-2</v>
      </c>
      <c r="U31" s="21">
        <v>4.0908960000000001E-3</v>
      </c>
      <c r="V31" s="28"/>
    </row>
    <row r="32" spans="1:22" ht="15.75" customHeight="1" x14ac:dyDescent="0.25">
      <c r="V32" s="28"/>
    </row>
    <row r="33" spans="1:22" ht="15.75" customHeight="1" x14ac:dyDescent="0.3">
      <c r="A33" s="84" t="s">
        <v>172</v>
      </c>
      <c r="B33" s="82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.75" customHeight="1" x14ac:dyDescent="0.3">
      <c r="A34" s="28"/>
      <c r="B34" s="24" t="s">
        <v>173</v>
      </c>
      <c r="C34" s="24" t="s">
        <v>174</v>
      </c>
      <c r="D34" s="24" t="s">
        <v>174</v>
      </c>
      <c r="E34" s="24" t="s">
        <v>174</v>
      </c>
      <c r="F34" s="24" t="s">
        <v>175</v>
      </c>
      <c r="G34" s="24" t="s">
        <v>175</v>
      </c>
      <c r="H34" s="24" t="s">
        <v>175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.75" customHeight="1" x14ac:dyDescent="0.3">
      <c r="A35" s="24"/>
      <c r="B35" s="24" t="s">
        <v>168</v>
      </c>
      <c r="C35" s="24" t="s">
        <v>157</v>
      </c>
      <c r="D35" s="24" t="s">
        <v>158</v>
      </c>
      <c r="E35" s="24" t="s">
        <v>159</v>
      </c>
      <c r="F35" s="24" t="s">
        <v>157</v>
      </c>
      <c r="G35" s="24" t="s">
        <v>158</v>
      </c>
      <c r="H35" s="24" t="s">
        <v>159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.75" customHeight="1" x14ac:dyDescent="0.3">
      <c r="A36" s="24"/>
      <c r="B36" s="24" t="s">
        <v>41</v>
      </c>
      <c r="C36" s="21">
        <v>7.9064589999999999</v>
      </c>
      <c r="D36" s="21">
        <v>11.2536</v>
      </c>
      <c r="E36" s="21">
        <v>19.14021</v>
      </c>
      <c r="F36" s="21">
        <v>6.0320999999999998</v>
      </c>
      <c r="G36" s="21">
        <v>9.9202870000000001</v>
      </c>
      <c r="H36" s="21">
        <v>16.348179999999999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8"/>
    </row>
    <row r="37" spans="1:22" ht="15.75" customHeight="1" x14ac:dyDescent="0.3">
      <c r="A37" s="24"/>
      <c r="B37" s="24" t="s">
        <v>42</v>
      </c>
      <c r="C37" s="21">
        <v>15.28288</v>
      </c>
      <c r="D37" s="21">
        <v>20.92024</v>
      </c>
      <c r="E37" s="21">
        <v>38.487009999999998</v>
      </c>
      <c r="F37" s="21">
        <v>8.9426249999999996</v>
      </c>
      <c r="G37" s="21">
        <v>17.35615</v>
      </c>
      <c r="H37" s="21">
        <v>30.72777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8"/>
    </row>
    <row r="38" spans="1:22" ht="15.75" customHeight="1" x14ac:dyDescent="0.3">
      <c r="A38" s="24"/>
      <c r="B38" s="24" t="s">
        <v>43</v>
      </c>
      <c r="C38" s="21">
        <v>14.134919999999999</v>
      </c>
      <c r="D38" s="21">
        <v>17.39997</v>
      </c>
      <c r="E38" s="21">
        <v>34.906570000000002</v>
      </c>
      <c r="F38" s="21">
        <v>17.728149999999999</v>
      </c>
      <c r="G38" s="21">
        <v>16.268509999999999</v>
      </c>
      <c r="H38" s="21">
        <v>22.049410000000002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8"/>
    </row>
    <row r="39" spans="1:22" ht="15.75" customHeight="1" x14ac:dyDescent="0.3">
      <c r="A39" s="28"/>
      <c r="B39" s="21">
        <v>19</v>
      </c>
      <c r="C39" s="21">
        <v>22.635190000000001</v>
      </c>
      <c r="D39" s="21">
        <v>27.86374</v>
      </c>
      <c r="E39" s="21">
        <v>55.898229999999998</v>
      </c>
      <c r="F39" s="21">
        <v>28.389279999999999</v>
      </c>
      <c r="G39" s="21">
        <v>26.051860000000001</v>
      </c>
      <c r="H39" s="21">
        <v>35.309190000000001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5.75" customHeight="1" x14ac:dyDescent="0.3">
      <c r="A40" s="28"/>
      <c r="B40" s="24" t="s">
        <v>44</v>
      </c>
      <c r="C40" s="21">
        <v>20.139579999999999</v>
      </c>
      <c r="D40" s="21">
        <v>19.810880000000001</v>
      </c>
      <c r="E40" s="21">
        <v>31.434480000000001</v>
      </c>
      <c r="F40" s="21">
        <v>20.334969999999998</v>
      </c>
      <c r="G40" s="21">
        <v>19.24325</v>
      </c>
      <c r="H40" s="21">
        <v>49.373199999999997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.75" customHeight="1" x14ac:dyDescent="0.3">
      <c r="A41" s="28"/>
      <c r="B41" s="24" t="s">
        <v>45</v>
      </c>
      <c r="C41" s="21">
        <v>20.8292</v>
      </c>
      <c r="D41" s="21">
        <v>20.736190000000001</v>
      </c>
      <c r="E41" s="21">
        <v>31.060919999999999</v>
      </c>
      <c r="F41" s="21">
        <v>21.43938</v>
      </c>
      <c r="G41" s="21">
        <v>19.317489999999999</v>
      </c>
      <c r="H41" s="21">
        <v>87.780900000000003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5.75" customHeight="1" x14ac:dyDescent="0.3">
      <c r="A42" s="28"/>
      <c r="B42" s="24" t="s">
        <v>46</v>
      </c>
      <c r="C42" s="21">
        <v>13.16168</v>
      </c>
      <c r="D42" s="21">
        <v>15.6836</v>
      </c>
      <c r="E42" s="21">
        <v>20.099319999999999</v>
      </c>
      <c r="F42" s="21">
        <v>15.4146</v>
      </c>
      <c r="G42" s="21">
        <v>15.506819999999999</v>
      </c>
      <c r="H42" s="21">
        <v>16.988040000000002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.75" customHeight="1" x14ac:dyDescent="0.3">
      <c r="A43" s="28"/>
      <c r="B43" s="24" t="s">
        <v>47</v>
      </c>
      <c r="C43" s="21">
        <v>13.22353</v>
      </c>
      <c r="D43" s="21">
        <v>14.946820000000001</v>
      </c>
      <c r="E43" s="21">
        <v>20.148779999999999</v>
      </c>
      <c r="F43" s="21">
        <v>14.34761</v>
      </c>
      <c r="G43" s="21">
        <v>15.41981</v>
      </c>
      <c r="H43" s="21">
        <v>16.675560000000001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5.75" customHeight="1" x14ac:dyDescent="0.3">
      <c r="A44" s="28"/>
      <c r="B44" s="24" t="s">
        <v>48</v>
      </c>
      <c r="C44" s="21">
        <v>14.920780000000001</v>
      </c>
      <c r="D44" s="21">
        <v>17.445509999999999</v>
      </c>
      <c r="E44" s="21">
        <v>19.500730000000001</v>
      </c>
      <c r="F44" s="21">
        <v>23.597750000000001</v>
      </c>
      <c r="G44" s="21">
        <v>17.194929999999999</v>
      </c>
      <c r="H44" s="21">
        <v>18.65643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15.75" customHeight="1" x14ac:dyDescent="0.3">
      <c r="A45" s="28"/>
      <c r="B45" s="24" t="s">
        <v>49</v>
      </c>
      <c r="C45" s="21">
        <v>10.503080000000001</v>
      </c>
      <c r="D45" s="21">
        <v>13.038589999999999</v>
      </c>
      <c r="E45" s="21">
        <v>11.540039999999999</v>
      </c>
      <c r="F45" s="21">
        <v>11.58356</v>
      </c>
      <c r="G45" s="21">
        <v>14.552199999999999</v>
      </c>
      <c r="H45" s="21">
        <v>11.34235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15.75" customHeight="1" x14ac:dyDescent="0.3">
      <c r="A46" s="28"/>
      <c r="B46" s="24" t="s">
        <v>50</v>
      </c>
      <c r="C46" s="21">
        <v>15.911910000000001</v>
      </c>
      <c r="D46" s="21">
        <v>22.070810000000002</v>
      </c>
      <c r="E46" s="21">
        <v>26.695060000000002</v>
      </c>
      <c r="F46" s="21">
        <v>16.079270000000001</v>
      </c>
      <c r="G46" s="21">
        <v>20.70457</v>
      </c>
      <c r="H46" s="21">
        <v>21.677309999999999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5.75" customHeight="1" x14ac:dyDescent="0.3">
      <c r="A47" s="28"/>
      <c r="B47" s="24" t="s">
        <v>51</v>
      </c>
      <c r="C47" s="21">
        <v>24.288060000000002</v>
      </c>
      <c r="D47" s="21">
        <v>29.601590000000002</v>
      </c>
      <c r="E47" s="21">
        <v>33.214440000000003</v>
      </c>
      <c r="F47" s="21">
        <v>28.803799999999999</v>
      </c>
      <c r="G47" s="21">
        <v>31.055679999999999</v>
      </c>
      <c r="H47" s="21">
        <v>28.491199999999999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15.75" customHeight="1" x14ac:dyDescent="0.3">
      <c r="A48" s="28"/>
      <c r="B48" s="24" t="s">
        <v>52</v>
      </c>
      <c r="C48" s="21">
        <v>12.15841</v>
      </c>
      <c r="D48" s="21">
        <v>17.12584</v>
      </c>
      <c r="E48" s="21">
        <v>20.659790000000001</v>
      </c>
      <c r="F48" s="21">
        <v>12.078469999999999</v>
      </c>
      <c r="G48" s="21">
        <v>15.768380000000001</v>
      </c>
      <c r="H48" s="21">
        <v>16.58428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5.75" customHeight="1" x14ac:dyDescent="0.3">
      <c r="A49" s="28"/>
      <c r="B49" s="24" t="s">
        <v>53</v>
      </c>
      <c r="C49" s="21">
        <v>13.272030000000001</v>
      </c>
      <c r="D49" s="21">
        <v>17.129180000000002</v>
      </c>
      <c r="E49" s="21">
        <v>19.221620000000001</v>
      </c>
      <c r="F49" s="21">
        <v>13.809760000000001</v>
      </c>
      <c r="G49" s="21">
        <v>16.146640000000001</v>
      </c>
      <c r="H49" s="21">
        <v>15.997249999999999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5.75" customHeight="1" x14ac:dyDescent="0.3">
      <c r="A50" s="28"/>
      <c r="B50" s="24" t="s">
        <v>54</v>
      </c>
      <c r="C50" s="21">
        <v>30.444590000000002</v>
      </c>
      <c r="D50" s="21">
        <v>27.2867</v>
      </c>
      <c r="E50" s="21">
        <v>26.76802</v>
      </c>
      <c r="F50" s="21">
        <v>22.408280000000001</v>
      </c>
      <c r="G50" s="21">
        <v>23.662430000000001</v>
      </c>
      <c r="H50" s="21">
        <v>27.68019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5.75" customHeight="1" x14ac:dyDescent="0.3">
      <c r="A51" s="28"/>
      <c r="B51" s="24" t="s">
        <v>55</v>
      </c>
      <c r="C51" s="21">
        <v>23.555890000000002</v>
      </c>
      <c r="D51" s="21">
        <v>26.264050000000001</v>
      </c>
      <c r="E51" s="21">
        <v>31.855340000000002</v>
      </c>
      <c r="F51" s="21">
        <v>20.100249999999999</v>
      </c>
      <c r="G51" s="21">
        <v>25.205660000000002</v>
      </c>
      <c r="H51" s="21">
        <v>31.461089999999999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5.75" customHeight="1" x14ac:dyDescent="0.3">
      <c r="A52" s="28"/>
      <c r="B52" s="24" t="s">
        <v>56</v>
      </c>
      <c r="C52" s="21">
        <v>21.549890000000001</v>
      </c>
      <c r="D52" s="21">
        <v>18.769839999999999</v>
      </c>
      <c r="E52" s="21">
        <v>26.004460000000002</v>
      </c>
      <c r="F52" s="21">
        <v>17.96208</v>
      </c>
      <c r="G52" s="21">
        <v>17.34198</v>
      </c>
      <c r="H52" s="21">
        <v>22.724769999999999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5.75" customHeight="1" x14ac:dyDescent="0.3">
      <c r="A53" s="28"/>
      <c r="B53" s="24" t="s">
        <v>57</v>
      </c>
      <c r="C53" s="21">
        <v>14.754709999999999</v>
      </c>
      <c r="D53" s="21">
        <v>19.14104</v>
      </c>
      <c r="E53" s="21">
        <v>24.84582</v>
      </c>
      <c r="F53" s="21">
        <v>12.619260000000001</v>
      </c>
      <c r="G53" s="21">
        <v>18.47711</v>
      </c>
      <c r="H53" s="21">
        <v>24.320360000000001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5.75" customHeight="1" x14ac:dyDescent="0.3">
      <c r="A54" s="28"/>
      <c r="B54" s="24" t="s">
        <v>58</v>
      </c>
      <c r="C54" s="21">
        <v>6.9076430000000002</v>
      </c>
      <c r="D54" s="21">
        <v>9.3440759999999994</v>
      </c>
      <c r="E54" s="21">
        <v>11.986560000000001</v>
      </c>
      <c r="F54" s="21">
        <v>6.3283800000000001</v>
      </c>
      <c r="G54" s="21">
        <v>8.7744940000000007</v>
      </c>
      <c r="H54" s="21">
        <v>11.44497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5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5.75" customHeight="1" x14ac:dyDescent="0.3">
      <c r="A56" s="84" t="s">
        <v>176</v>
      </c>
      <c r="B56" s="82"/>
      <c r="C56" s="28" t="s">
        <v>177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5.75" customHeight="1" x14ac:dyDescent="0.3">
      <c r="A57" s="28"/>
      <c r="B57" s="28"/>
      <c r="C57" s="24" t="s">
        <v>157</v>
      </c>
      <c r="D57" s="24" t="s">
        <v>158</v>
      </c>
      <c r="E57" s="24" t="s">
        <v>159</v>
      </c>
      <c r="F57" s="21"/>
      <c r="G57" s="21"/>
      <c r="H57" s="21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5.75" customHeight="1" x14ac:dyDescent="0.3">
      <c r="A58" s="28"/>
      <c r="B58" s="24" t="s">
        <v>175</v>
      </c>
      <c r="C58" s="21">
        <v>0.38693899999999998</v>
      </c>
      <c r="D58" s="21">
        <v>0.72365800000000002</v>
      </c>
      <c r="E58" s="21">
        <v>0.82211999999999996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6"/>
      <c r="Q58" s="21"/>
      <c r="R58" s="26"/>
      <c r="S58" s="21"/>
      <c r="T58" s="26"/>
      <c r="U58" s="21"/>
      <c r="V58" s="28"/>
    </row>
    <row r="59" spans="1:22" ht="15.75" customHeight="1" x14ac:dyDescent="0.3">
      <c r="A59" s="28"/>
      <c r="B59" s="24" t="s">
        <v>174</v>
      </c>
      <c r="C59" s="21">
        <v>0.69769999999999999</v>
      </c>
      <c r="D59" s="21">
        <v>0.86867300000000003</v>
      </c>
      <c r="E59" s="21">
        <v>0.93184100000000003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8"/>
    </row>
    <row r="60" spans="1:22" ht="15.75" customHeight="1" x14ac:dyDescent="0.3">
      <c r="B60" s="28"/>
      <c r="C60" s="21"/>
      <c r="D60" s="21"/>
      <c r="E60" s="21"/>
      <c r="F60" s="21"/>
      <c r="G60" s="26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8"/>
    </row>
    <row r="61" spans="1:22" ht="15.75" customHeight="1" x14ac:dyDescent="0.3">
      <c r="A61" s="85" t="s">
        <v>178</v>
      </c>
      <c r="B61" s="82"/>
      <c r="C61" s="24" t="s">
        <v>157</v>
      </c>
      <c r="D61" s="24" t="s">
        <v>158</v>
      </c>
      <c r="E61" s="24" t="s">
        <v>159</v>
      </c>
      <c r="F61" s="21"/>
      <c r="G61" s="26"/>
      <c r="H61" s="26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8"/>
    </row>
    <row r="62" spans="1:22" ht="15.75" customHeight="1" x14ac:dyDescent="0.3">
      <c r="B62" s="24" t="s">
        <v>175</v>
      </c>
      <c r="C62" s="68">
        <v>0.124</v>
      </c>
      <c r="D62" s="68">
        <v>9.1999999999999998E-2</v>
      </c>
      <c r="E62" s="68">
        <v>6.9000000000000006E-2</v>
      </c>
      <c r="F62" s="26"/>
      <c r="G62" s="26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8"/>
    </row>
    <row r="63" spans="1:22" ht="15.75" customHeight="1" x14ac:dyDescent="0.3">
      <c r="B63" s="24" t="s">
        <v>174</v>
      </c>
      <c r="C63" s="68">
        <v>9.2999999999999999E-2</v>
      </c>
      <c r="D63" s="68">
        <v>6.8000000000000005E-2</v>
      </c>
      <c r="E63" s="68">
        <v>4.3999999999999997E-2</v>
      </c>
      <c r="F63" s="26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8"/>
    </row>
    <row r="64" spans="1:22" ht="15.75" customHeight="1" x14ac:dyDescent="0.3">
      <c r="B64" s="28"/>
      <c r="C64" s="21"/>
      <c r="D64" s="21"/>
      <c r="E64" s="21"/>
      <c r="F64" s="21"/>
      <c r="G64" s="21"/>
      <c r="H64" s="21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15.75" customHeight="1" x14ac:dyDescent="0.3">
      <c r="B65" s="28" t="s">
        <v>179</v>
      </c>
      <c r="C65" s="21">
        <f>F65*F66</f>
        <v>258164000000</v>
      </c>
      <c r="D65" s="21"/>
      <c r="E65" s="21"/>
      <c r="F65" s="69">
        <v>258164</v>
      </c>
      <c r="G65" s="21"/>
      <c r="H65" s="21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15.75" customHeight="1" x14ac:dyDescent="0.3">
      <c r="B66" s="28"/>
      <c r="C66" s="21"/>
      <c r="D66" s="21"/>
      <c r="E66" s="21"/>
      <c r="F66" s="21">
        <v>1000000</v>
      </c>
      <c r="G66" s="21"/>
      <c r="H66" s="21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15.75" customHeight="1" x14ac:dyDescent="0.3">
      <c r="B67" s="28"/>
      <c r="C67" s="21"/>
      <c r="D67" s="21"/>
      <c r="E67" s="21"/>
      <c r="F67" s="21"/>
      <c r="G67" s="21"/>
      <c r="H67" s="21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15.75" customHeight="1" x14ac:dyDescent="0.3">
      <c r="B68" s="28"/>
      <c r="C68" s="21"/>
      <c r="D68" s="21"/>
      <c r="E68" s="21"/>
      <c r="F68" s="21"/>
      <c r="G68" s="21"/>
      <c r="H68" s="21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5.75" customHeight="1" x14ac:dyDescent="0.3">
      <c r="B69" s="28"/>
      <c r="C69" s="21"/>
      <c r="D69" s="21"/>
      <c r="E69" s="21"/>
      <c r="F69" s="21"/>
      <c r="G69" s="21"/>
      <c r="H69" s="21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5.75" customHeight="1" x14ac:dyDescent="0.3">
      <c r="B70" s="28"/>
      <c r="C70" s="21"/>
      <c r="D70" s="21"/>
      <c r="E70" s="21"/>
      <c r="F70" s="26"/>
      <c r="G70" s="21"/>
      <c r="H70" s="21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5.75" customHeight="1" x14ac:dyDescent="0.3">
      <c r="B71" s="28"/>
      <c r="C71" s="21"/>
      <c r="D71" s="21"/>
      <c r="E71" s="21"/>
      <c r="F71" s="21"/>
      <c r="G71" s="21"/>
      <c r="H71" s="21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5.75" customHeight="1" x14ac:dyDescent="0.3">
      <c r="B72" s="28"/>
      <c r="C72" s="21"/>
      <c r="D72" s="21"/>
      <c r="E72" s="21"/>
      <c r="F72" s="21"/>
      <c r="G72" s="21"/>
      <c r="H72" s="21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5.75" customHeight="1" x14ac:dyDescent="0.3">
      <c r="B73" s="28"/>
      <c r="C73" s="21"/>
      <c r="D73" s="21"/>
      <c r="E73" s="21"/>
      <c r="F73" s="21"/>
      <c r="G73" s="21"/>
      <c r="H73" s="21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5.75" customHeight="1" x14ac:dyDescent="0.3">
      <c r="B74" s="28"/>
      <c r="C74" s="21"/>
      <c r="D74" s="21"/>
      <c r="E74" s="21"/>
      <c r="F74" s="21"/>
      <c r="G74" s="21"/>
      <c r="H74" s="21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5.75" customHeight="1" x14ac:dyDescent="0.3">
      <c r="B75" s="28"/>
      <c r="C75" s="21"/>
      <c r="D75" s="21"/>
      <c r="E75" s="21"/>
      <c r="F75" s="21"/>
      <c r="G75" s="21"/>
      <c r="H75" s="21"/>
    </row>
    <row r="76" spans="1:22" ht="15.75" customHeight="1" x14ac:dyDescent="0.3">
      <c r="B76" s="28"/>
      <c r="C76" s="21"/>
      <c r="D76" s="21"/>
      <c r="E76" s="21"/>
      <c r="F76" s="21"/>
      <c r="G76" s="21"/>
      <c r="H76" s="21"/>
    </row>
    <row r="77" spans="1:22" ht="15.75" customHeight="1" x14ac:dyDescent="0.3">
      <c r="B77" s="28"/>
      <c r="C77" s="21"/>
      <c r="D77" s="21"/>
      <c r="E77" s="21"/>
      <c r="F77" s="21"/>
      <c r="G77" s="21"/>
      <c r="H77" s="21"/>
    </row>
    <row r="78" spans="1:22" ht="15.75" customHeight="1" x14ac:dyDescent="0.25">
      <c r="A78" s="28"/>
      <c r="B78" s="28"/>
      <c r="C78" s="28"/>
      <c r="D78" s="28"/>
      <c r="E78" s="28"/>
      <c r="F78" s="28"/>
      <c r="G78" s="28"/>
    </row>
    <row r="79" spans="1:22" ht="15.75" customHeight="1" x14ac:dyDescent="0.25">
      <c r="F79" s="28"/>
      <c r="G79" s="28"/>
    </row>
    <row r="80" spans="1:22" ht="15.75" customHeight="1" x14ac:dyDescent="0.25">
      <c r="F80" s="28"/>
      <c r="G80" s="28"/>
    </row>
    <row r="81" spans="6:7" ht="15.75" customHeight="1" x14ac:dyDescent="0.25">
      <c r="F81" s="28"/>
      <c r="G81" s="28"/>
    </row>
    <row r="82" spans="6:7" ht="15.75" customHeight="1" x14ac:dyDescent="0.25">
      <c r="F82" s="28"/>
      <c r="G82" s="28"/>
    </row>
    <row r="83" spans="6:7" ht="15.75" customHeight="1" x14ac:dyDescent="0.25"/>
    <row r="84" spans="6:7" ht="15.75" customHeight="1" x14ac:dyDescent="0.25"/>
    <row r="85" spans="6:7" ht="15.75" customHeight="1" x14ac:dyDescent="0.25"/>
    <row r="86" spans="6:7" ht="15.75" customHeight="1" x14ac:dyDescent="0.25"/>
    <row r="87" spans="6:7" ht="15.75" customHeight="1" x14ac:dyDescent="0.25"/>
    <row r="88" spans="6:7" ht="15.75" customHeight="1" x14ac:dyDescent="0.25"/>
    <row r="89" spans="6:7" ht="15.75" customHeight="1" x14ac:dyDescent="0.25"/>
    <row r="90" spans="6:7" ht="15.75" customHeight="1" x14ac:dyDescent="0.25"/>
    <row r="91" spans="6:7" ht="15.75" customHeight="1" x14ac:dyDescent="0.25"/>
    <row r="92" spans="6:7" ht="15.75" customHeight="1" x14ac:dyDescent="0.25"/>
    <row r="93" spans="6:7" ht="15.75" customHeight="1" x14ac:dyDescent="0.25"/>
    <row r="94" spans="6:7" ht="15.75" customHeight="1" x14ac:dyDescent="0.25"/>
    <row r="95" spans="6:7" ht="15.75" customHeight="1" x14ac:dyDescent="0.25"/>
    <row r="96" spans="6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56:B56"/>
    <mergeCell ref="A61:B61"/>
    <mergeCell ref="A10:B10"/>
    <mergeCell ref="A16:B16"/>
    <mergeCell ref="A21:B21"/>
    <mergeCell ref="A27:B27"/>
    <mergeCell ref="A33:B3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U1001"/>
  <sheetViews>
    <sheetView workbookViewId="0"/>
  </sheetViews>
  <sheetFormatPr defaultColWidth="12.59765625" defaultRowHeight="15" customHeight="1" x14ac:dyDescent="0.25"/>
  <cols>
    <col min="1" max="1" width="5.69921875" customWidth="1"/>
    <col min="2" max="2" width="24.8984375" customWidth="1"/>
    <col min="3" max="3" width="11.5" customWidth="1"/>
    <col min="4" max="26" width="5.69921875" customWidth="1"/>
  </cols>
  <sheetData>
    <row r="2" spans="2:21" ht="14.4" x14ac:dyDescent="0.3">
      <c r="B2" s="7" t="s">
        <v>180</v>
      </c>
      <c r="C2" s="7">
        <v>9.1899999999999996E-2</v>
      </c>
    </row>
    <row r="3" spans="2:21" ht="14.4" x14ac:dyDescent="0.3">
      <c r="B3" s="7" t="s">
        <v>181</v>
      </c>
      <c r="C3" s="7">
        <v>0.23810000000000001</v>
      </c>
    </row>
    <row r="5" spans="2:21" ht="14.4" x14ac:dyDescent="0.3">
      <c r="B5" s="7" t="s">
        <v>182</v>
      </c>
    </row>
    <row r="6" spans="2:21" ht="14.4" x14ac:dyDescent="0.3">
      <c r="B6" s="7" t="s">
        <v>183</v>
      </c>
      <c r="C6" s="7">
        <v>654.169968516361</v>
      </c>
    </row>
    <row r="7" spans="2:21" ht="14.4" x14ac:dyDescent="0.3">
      <c r="B7" s="7" t="s">
        <v>184</v>
      </c>
      <c r="C7" s="7">
        <v>1278.1187932487301</v>
      </c>
    </row>
    <row r="8" spans="2:21" ht="14.4" x14ac:dyDescent="0.3">
      <c r="B8" s="1" t="s">
        <v>185</v>
      </c>
      <c r="C8" s="24">
        <v>0.46236882047679401</v>
      </c>
    </row>
    <row r="9" spans="2:21" ht="14.4" x14ac:dyDescent="0.3">
      <c r="B9" s="7" t="s">
        <v>186</v>
      </c>
      <c r="C9" s="21">
        <v>0.530407294832827</v>
      </c>
    </row>
    <row r="10" spans="2:21" ht="14.4" x14ac:dyDescent="0.3">
      <c r="B10" s="7" t="s">
        <v>187</v>
      </c>
      <c r="C10" s="21">
        <v>0.78554628154592698</v>
      </c>
    </row>
    <row r="11" spans="2:21" ht="14.4" x14ac:dyDescent="0.3">
      <c r="B11" s="7" t="s">
        <v>188</v>
      </c>
      <c r="C11" s="21">
        <v>118.534329748215</v>
      </c>
    </row>
    <row r="13" spans="2:21" ht="14.4" x14ac:dyDescent="0.3">
      <c r="B13" s="7" t="s">
        <v>189</v>
      </c>
      <c r="C13" s="70" t="s">
        <v>41</v>
      </c>
      <c r="D13" s="70" t="s">
        <v>42</v>
      </c>
      <c r="E13" s="70" t="s">
        <v>43</v>
      </c>
      <c r="F13" s="70" t="s">
        <v>66</v>
      </c>
      <c r="G13" s="70" t="s">
        <v>44</v>
      </c>
      <c r="H13" s="70" t="s">
        <v>45</v>
      </c>
      <c r="I13" s="70" t="s">
        <v>46</v>
      </c>
      <c r="J13" s="70" t="s">
        <v>47</v>
      </c>
      <c r="K13" s="70" t="s">
        <v>48</v>
      </c>
      <c r="L13" s="70" t="s">
        <v>49</v>
      </c>
      <c r="M13" s="70" t="s">
        <v>50</v>
      </c>
      <c r="N13" s="70" t="s">
        <v>51</v>
      </c>
      <c r="O13" s="70" t="s">
        <v>52</v>
      </c>
      <c r="P13" s="70" t="s">
        <v>53</v>
      </c>
      <c r="Q13" s="70" t="s">
        <v>54</v>
      </c>
      <c r="R13" s="70" t="s">
        <v>55</v>
      </c>
      <c r="S13" s="70" t="s">
        <v>56</v>
      </c>
      <c r="T13" s="70" t="s">
        <v>57</v>
      </c>
      <c r="U13" s="70" t="s">
        <v>81</v>
      </c>
    </row>
    <row r="14" spans="2:21" ht="14.4" x14ac:dyDescent="0.3">
      <c r="B14" s="7" t="s">
        <v>190</v>
      </c>
      <c r="C14" s="71">
        <v>486370000</v>
      </c>
      <c r="D14" s="71">
        <v>5460000</v>
      </c>
      <c r="E14" s="71">
        <v>6215820000</v>
      </c>
      <c r="F14" s="71">
        <v>11720000</v>
      </c>
      <c r="G14" s="71">
        <v>107490000</v>
      </c>
      <c r="H14" s="71">
        <v>354260000</v>
      </c>
      <c r="I14" s="71">
        <v>1338860000</v>
      </c>
      <c r="J14" s="71">
        <v>4438460000</v>
      </c>
      <c r="K14" s="71">
        <v>5954160000</v>
      </c>
      <c r="L14" s="71">
        <v>814590000</v>
      </c>
      <c r="M14" s="71">
        <v>706860000</v>
      </c>
      <c r="N14" s="71">
        <v>38210000</v>
      </c>
      <c r="O14" s="71">
        <v>1384090000</v>
      </c>
      <c r="P14" s="71">
        <v>3271230000</v>
      </c>
      <c r="Q14" s="71">
        <v>130983780000</v>
      </c>
      <c r="R14" s="71">
        <v>57901820000</v>
      </c>
      <c r="S14" s="71">
        <v>106124550000</v>
      </c>
      <c r="T14" s="71">
        <v>5401590000</v>
      </c>
      <c r="U14" s="71">
        <v>1450970000</v>
      </c>
    </row>
    <row r="15" spans="2:21" ht="14.4" x14ac:dyDescent="0.3">
      <c r="B15" s="7" t="s">
        <v>191</v>
      </c>
      <c r="C15" s="21">
        <v>21831206.896551698</v>
      </c>
      <c r="D15" s="21">
        <v>3377931.0344827599</v>
      </c>
      <c r="E15" s="21">
        <v>111730862.068965</v>
      </c>
      <c r="F15" s="21">
        <v>-1222068.9655172401</v>
      </c>
      <c r="G15" s="21">
        <v>3549655.1724137901</v>
      </c>
      <c r="H15" s="21">
        <v>225590172.413793</v>
      </c>
      <c r="I15" s="21">
        <v>-163051551.72413799</v>
      </c>
      <c r="J15" s="21">
        <v>-11884310.3448276</v>
      </c>
      <c r="K15" s="21">
        <v>99094999.999999896</v>
      </c>
      <c r="L15" s="21">
        <v>-98063275.862068996</v>
      </c>
      <c r="M15" s="21">
        <v>361934310.34482801</v>
      </c>
      <c r="N15" s="21">
        <v>22979310.3448276</v>
      </c>
      <c r="O15" s="21">
        <v>-132978103.448276</v>
      </c>
      <c r="P15" s="21">
        <v>580982068.96551704</v>
      </c>
      <c r="Q15" s="21">
        <v>-1787224482.75862</v>
      </c>
      <c r="R15" s="21">
        <v>-59911379.3103448</v>
      </c>
      <c r="S15" s="21">
        <v>477006724.13793302</v>
      </c>
      <c r="T15" s="21">
        <v>-151901896.55172399</v>
      </c>
      <c r="U15" s="21">
        <v>-47276551.724137902</v>
      </c>
    </row>
    <row r="16" spans="2:21" ht="14.4" x14ac:dyDescent="0.3">
      <c r="C16" s="21"/>
      <c r="D16" s="26"/>
      <c r="E16" s="21"/>
      <c r="F16" s="2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21" ht="15" customHeight="1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4" x14ac:dyDescent="0.3">
      <c r="B18" s="7" t="s">
        <v>192</v>
      </c>
    </row>
    <row r="19" spans="1:21" ht="14.4" x14ac:dyDescent="0.3">
      <c r="B19" s="1" t="s">
        <v>193</v>
      </c>
      <c r="C19" s="7">
        <v>0.62805973280523797</v>
      </c>
    </row>
    <row r="20" spans="1:21" ht="14.4" x14ac:dyDescent="0.3">
      <c r="B20" s="1" t="s">
        <v>194</v>
      </c>
      <c r="C20" s="21">
        <v>0.163815696680848</v>
      </c>
    </row>
    <row r="21" spans="1:21" ht="15.75" customHeight="1" x14ac:dyDescent="0.25"/>
    <row r="22" spans="1:21" ht="15.75" customHeight="1" x14ac:dyDescent="0.3">
      <c r="B22" s="7" t="s">
        <v>195</v>
      </c>
      <c r="C22" s="7">
        <v>0.02</v>
      </c>
    </row>
    <row r="23" spans="1:21" ht="15.75" customHeight="1" x14ac:dyDescent="0.3">
      <c r="B23" s="7" t="s">
        <v>196</v>
      </c>
      <c r="C23" s="1">
        <v>0.01</v>
      </c>
    </row>
    <row r="24" spans="1:21" ht="15.75" customHeight="1" x14ac:dyDescent="0.3">
      <c r="B24" s="7" t="s">
        <v>197</v>
      </c>
      <c r="C24" s="26">
        <v>1920620000000</v>
      </c>
    </row>
    <row r="25" spans="1:21" ht="15.75" customHeight="1" x14ac:dyDescent="0.25"/>
    <row r="26" spans="1:21" ht="15.75" customHeight="1" x14ac:dyDescent="0.3">
      <c r="B26" s="7" t="s">
        <v>198</v>
      </c>
    </row>
    <row r="27" spans="1:21" ht="15.75" customHeight="1" x14ac:dyDescent="0.3">
      <c r="A27" s="7" t="s">
        <v>199</v>
      </c>
      <c r="B27" s="7"/>
      <c r="C27" s="70" t="s">
        <v>41</v>
      </c>
      <c r="D27" s="70" t="s">
        <v>42</v>
      </c>
      <c r="E27" s="70" t="s">
        <v>43</v>
      </c>
      <c r="F27" s="70" t="s">
        <v>66</v>
      </c>
      <c r="G27" s="70" t="s">
        <v>44</v>
      </c>
      <c r="H27" s="70" t="s">
        <v>45</v>
      </c>
      <c r="I27" s="70" t="s">
        <v>46</v>
      </c>
      <c r="J27" s="70" t="s">
        <v>47</v>
      </c>
      <c r="K27" s="70" t="s">
        <v>48</v>
      </c>
      <c r="L27" s="70" t="s">
        <v>49</v>
      </c>
      <c r="M27" s="70" t="s">
        <v>50</v>
      </c>
      <c r="N27" s="70" t="s">
        <v>51</v>
      </c>
      <c r="O27" s="70" t="s">
        <v>52</v>
      </c>
      <c r="P27" s="70" t="s">
        <v>53</v>
      </c>
      <c r="Q27" s="70" t="s">
        <v>54</v>
      </c>
      <c r="R27" s="70" t="s">
        <v>55</v>
      </c>
      <c r="S27" s="70" t="s">
        <v>56</v>
      </c>
      <c r="T27" s="70" t="s">
        <v>57</v>
      </c>
      <c r="U27" s="70" t="s">
        <v>81</v>
      </c>
    </row>
    <row r="28" spans="1:21" ht="15.75" customHeight="1" x14ac:dyDescent="0.3">
      <c r="A28" s="7">
        <v>2010</v>
      </c>
      <c r="B28" s="7" t="s">
        <v>200</v>
      </c>
      <c r="C28" s="7">
        <v>6.238585057378232E-2</v>
      </c>
      <c r="D28" s="20">
        <v>5.3747770478966374E-2</v>
      </c>
      <c r="E28" s="20">
        <v>3.1952753265925185E-2</v>
      </c>
      <c r="F28" s="20">
        <v>0.10384028836822404</v>
      </c>
      <c r="G28" s="20">
        <v>5.1120193293194637E-2</v>
      </c>
      <c r="H28" s="20">
        <v>5.7449673273697828E-2</v>
      </c>
      <c r="I28" s="20">
        <v>3.3483484223073817E-2</v>
      </c>
      <c r="J28" s="20">
        <v>3.0125063639679293E-2</v>
      </c>
      <c r="K28" s="20">
        <v>3.1999383837281695E-2</v>
      </c>
      <c r="L28" s="20">
        <v>2.5307903468729551E-2</v>
      </c>
      <c r="M28" s="20">
        <v>2.8748600714057423E-2</v>
      </c>
      <c r="N28" s="20">
        <v>5.177058591830578E-2</v>
      </c>
      <c r="O28" s="20">
        <v>1.3760836002708405E-2</v>
      </c>
      <c r="P28" s="20">
        <v>2.2717243245946688E-2</v>
      </c>
      <c r="Q28" s="20">
        <v>4.1214813665198753E-2</v>
      </c>
      <c r="R28" s="20">
        <v>5.5215628918332343E-2</v>
      </c>
      <c r="S28" s="20">
        <v>4.3100833568656981E-2</v>
      </c>
      <c r="T28" s="20">
        <v>2.6087793608009242E-2</v>
      </c>
      <c r="U28" s="20">
        <v>1.086690452701149E-2</v>
      </c>
    </row>
    <row r="29" spans="1:21" ht="15.75" customHeight="1" x14ac:dyDescent="0.3">
      <c r="A29" s="7"/>
      <c r="B29" s="7"/>
      <c r="C29" s="7"/>
    </row>
    <row r="30" spans="1:21" ht="15.75" customHeight="1" x14ac:dyDescent="0.3">
      <c r="A30" s="7"/>
      <c r="B30" s="7"/>
      <c r="C30" s="7"/>
    </row>
    <row r="31" spans="1:21" ht="15.75" customHeight="1" x14ac:dyDescent="0.3">
      <c r="A31" s="7"/>
      <c r="B31" s="7"/>
      <c r="C31" s="7"/>
    </row>
    <row r="32" spans="1:21" ht="15.75" customHeight="1" x14ac:dyDescent="0.3">
      <c r="A32" s="7"/>
      <c r="B32" s="7"/>
      <c r="C32" s="7"/>
    </row>
    <row r="33" spans="1:4" ht="15.75" customHeight="1" x14ac:dyDescent="0.3">
      <c r="A33" s="7"/>
      <c r="B33" s="7"/>
      <c r="C33" s="7"/>
    </row>
    <row r="34" spans="1:4" ht="15.75" customHeight="1" x14ac:dyDescent="0.3">
      <c r="A34" s="7"/>
      <c r="B34" s="7"/>
      <c r="C34" s="7"/>
    </row>
    <row r="35" spans="1:4" ht="15.75" customHeight="1" x14ac:dyDescent="0.3">
      <c r="A35" s="7"/>
      <c r="B35" s="7"/>
      <c r="C35" s="7"/>
    </row>
    <row r="36" spans="1:4" ht="15.75" customHeight="1" x14ac:dyDescent="0.3">
      <c r="A36" s="7"/>
      <c r="B36" s="7"/>
      <c r="C36" s="7"/>
    </row>
    <row r="37" spans="1:4" ht="15.75" customHeight="1" x14ac:dyDescent="0.3">
      <c r="A37" s="7"/>
      <c r="B37" s="7"/>
      <c r="C37" s="7"/>
    </row>
    <row r="38" spans="1:4" ht="15.75" customHeight="1" x14ac:dyDescent="0.3">
      <c r="A38" s="7"/>
      <c r="B38" s="7"/>
      <c r="C38" s="7"/>
    </row>
    <row r="39" spans="1:4" ht="15.75" customHeight="1" x14ac:dyDescent="0.3">
      <c r="A39" s="7"/>
      <c r="B39" s="7"/>
      <c r="C39" s="7"/>
    </row>
    <row r="40" spans="1:4" ht="15.75" customHeight="1" x14ac:dyDescent="0.25"/>
    <row r="41" spans="1:4" ht="15.75" customHeight="1" x14ac:dyDescent="0.3">
      <c r="B41" s="7" t="s">
        <v>201</v>
      </c>
    </row>
    <row r="42" spans="1:4" ht="15.75" customHeight="1" x14ac:dyDescent="0.3">
      <c r="B42" s="7" t="s">
        <v>202</v>
      </c>
      <c r="C42" s="7" t="s">
        <v>203</v>
      </c>
      <c r="D42" s="7" t="s">
        <v>204</v>
      </c>
    </row>
    <row r="43" spans="1:4" ht="15.75" customHeight="1" x14ac:dyDescent="0.3">
      <c r="B43" s="7" t="s">
        <v>205</v>
      </c>
      <c r="C43" s="7">
        <v>0</v>
      </c>
      <c r="D43" s="7">
        <v>0.23</v>
      </c>
    </row>
    <row r="44" spans="1:4" ht="15.75" customHeight="1" x14ac:dyDescent="0.3">
      <c r="B44" s="7" t="s">
        <v>206</v>
      </c>
      <c r="C44" s="7">
        <v>15000</v>
      </c>
      <c r="D44" s="7">
        <v>0.27</v>
      </c>
    </row>
    <row r="45" spans="1:4" ht="15.75" customHeight="1" x14ac:dyDescent="0.3">
      <c r="B45" s="7" t="s">
        <v>207</v>
      </c>
      <c r="C45" s="7">
        <v>28000</v>
      </c>
      <c r="D45" s="7">
        <v>0.38</v>
      </c>
    </row>
    <row r="46" spans="1:4" ht="15.75" customHeight="1" x14ac:dyDescent="0.3">
      <c r="B46" s="7" t="s">
        <v>208</v>
      </c>
      <c r="C46" s="7">
        <v>55000</v>
      </c>
      <c r="D46" s="7">
        <v>0.41</v>
      </c>
    </row>
    <row r="47" spans="1:4" ht="15.75" customHeight="1" x14ac:dyDescent="0.3">
      <c r="B47" s="7" t="s">
        <v>209</v>
      </c>
      <c r="C47" s="7">
        <v>75000</v>
      </c>
      <c r="D47" s="7">
        <v>0.43</v>
      </c>
    </row>
    <row r="48" spans="1:4" ht="15.75" customHeight="1" x14ac:dyDescent="0.25"/>
    <row r="49" spans="1:3" ht="15.75" customHeight="1" x14ac:dyDescent="0.3">
      <c r="B49" s="7" t="s">
        <v>210</v>
      </c>
    </row>
    <row r="50" spans="1:3" ht="15.75" customHeight="1" x14ac:dyDescent="0.3">
      <c r="A50" s="1" t="s">
        <v>199</v>
      </c>
      <c r="B50" s="7" t="s">
        <v>211</v>
      </c>
      <c r="C50" s="1" t="s">
        <v>204</v>
      </c>
    </row>
    <row r="51" spans="1:3" ht="15.75" customHeight="1" x14ac:dyDescent="0.3">
      <c r="A51" s="1">
        <v>2010</v>
      </c>
      <c r="B51" s="7">
        <f t="shared" ref="B51:B62" si="0">A51-2010</f>
        <v>0</v>
      </c>
      <c r="C51" s="7">
        <v>0.27500000000000002</v>
      </c>
    </row>
    <row r="52" spans="1:3" ht="15.75" customHeight="1" x14ac:dyDescent="0.3">
      <c r="A52" s="1">
        <v>2011</v>
      </c>
      <c r="B52" s="7">
        <f t="shared" si="0"/>
        <v>1</v>
      </c>
      <c r="C52" s="7">
        <v>0.27500000000000002</v>
      </c>
    </row>
    <row r="53" spans="1:3" ht="15.75" customHeight="1" x14ac:dyDescent="0.3">
      <c r="A53" s="1">
        <v>2012</v>
      </c>
      <c r="B53" s="7">
        <f t="shared" si="0"/>
        <v>2</v>
      </c>
      <c r="C53" s="7">
        <v>0.27500000000000002</v>
      </c>
    </row>
    <row r="54" spans="1:3" ht="15.75" customHeight="1" x14ac:dyDescent="0.3">
      <c r="A54" s="1">
        <v>2013</v>
      </c>
      <c r="B54" s="7">
        <f t="shared" si="0"/>
        <v>3</v>
      </c>
      <c r="C54" s="7">
        <v>0.27500000000000002</v>
      </c>
    </row>
    <row r="55" spans="1:3" ht="15.75" customHeight="1" x14ac:dyDescent="0.3">
      <c r="A55" s="1">
        <v>2014</v>
      </c>
      <c r="B55" s="7">
        <f t="shared" si="0"/>
        <v>4</v>
      </c>
      <c r="C55" s="7">
        <v>0.27500000000000002</v>
      </c>
    </row>
    <row r="56" spans="1:3" ht="15.75" customHeight="1" x14ac:dyDescent="0.3">
      <c r="A56" s="1">
        <v>2015</v>
      </c>
      <c r="B56" s="7">
        <f t="shared" si="0"/>
        <v>5</v>
      </c>
      <c r="C56" s="7">
        <v>0.27500000000000002</v>
      </c>
    </row>
    <row r="57" spans="1:3" ht="15.75" customHeight="1" x14ac:dyDescent="0.3">
      <c r="A57" s="1">
        <v>2016</v>
      </c>
      <c r="B57" s="7">
        <f t="shared" si="0"/>
        <v>6</v>
      </c>
      <c r="C57" s="7">
        <v>0.27500000000000002</v>
      </c>
    </row>
    <row r="58" spans="1:3" ht="15.75" customHeight="1" x14ac:dyDescent="0.3">
      <c r="A58" s="1">
        <v>2017</v>
      </c>
      <c r="B58" s="7">
        <f t="shared" si="0"/>
        <v>7</v>
      </c>
      <c r="C58" s="7">
        <v>0.24</v>
      </c>
    </row>
    <row r="59" spans="1:3" ht="15.75" customHeight="1" x14ac:dyDescent="0.3">
      <c r="A59" s="1">
        <v>2018</v>
      </c>
      <c r="B59" s="7">
        <f t="shared" si="0"/>
        <v>8</v>
      </c>
      <c r="C59" s="7">
        <v>0.24</v>
      </c>
    </row>
    <row r="60" spans="1:3" ht="15.75" customHeight="1" x14ac:dyDescent="0.3">
      <c r="A60" s="1">
        <v>2019</v>
      </c>
      <c r="B60" s="7">
        <f t="shared" si="0"/>
        <v>9</v>
      </c>
      <c r="C60" s="7">
        <v>0.24</v>
      </c>
    </row>
    <row r="61" spans="1:3" ht="15.75" customHeight="1" x14ac:dyDescent="0.3">
      <c r="A61" s="1">
        <v>2020</v>
      </c>
      <c r="B61" s="7">
        <f t="shared" si="0"/>
        <v>10</v>
      </c>
      <c r="C61" s="7">
        <v>0.24</v>
      </c>
    </row>
    <row r="62" spans="1:3" ht="15.75" customHeight="1" x14ac:dyDescent="0.3">
      <c r="A62" s="7">
        <v>2021</v>
      </c>
      <c r="B62" s="7">
        <f t="shared" si="0"/>
        <v>11</v>
      </c>
      <c r="C62" s="7">
        <v>0.24</v>
      </c>
    </row>
    <row r="63" spans="1:3" ht="15.75" customHeight="1" x14ac:dyDescent="0.25"/>
    <row r="64" spans="1:3" ht="15.75" customHeight="1" x14ac:dyDescent="0.3">
      <c r="B64" s="7" t="s">
        <v>212</v>
      </c>
    </row>
    <row r="65" spans="1:3" ht="15.75" customHeight="1" x14ac:dyDescent="0.3">
      <c r="A65" s="7" t="s">
        <v>199</v>
      </c>
      <c r="B65" s="7" t="s">
        <v>211</v>
      </c>
      <c r="C65" s="7" t="s">
        <v>204</v>
      </c>
    </row>
    <row r="66" spans="1:3" ht="15.75" customHeight="1" x14ac:dyDescent="0.3">
      <c r="A66" s="7">
        <v>2010</v>
      </c>
      <c r="B66" s="7">
        <f t="shared" ref="B66:B77" si="1">A66-2010</f>
        <v>0</v>
      </c>
      <c r="C66" s="7">
        <v>0.2</v>
      </c>
    </row>
    <row r="67" spans="1:3" ht="15.75" customHeight="1" x14ac:dyDescent="0.3">
      <c r="A67" s="7">
        <v>2011</v>
      </c>
      <c r="B67" s="7">
        <f t="shared" si="1"/>
        <v>1</v>
      </c>
      <c r="C67" s="7">
        <v>0.2</v>
      </c>
    </row>
    <row r="68" spans="1:3" ht="15.75" customHeight="1" x14ac:dyDescent="0.3">
      <c r="A68" s="7">
        <v>2012</v>
      </c>
      <c r="B68" s="7">
        <f t="shared" si="1"/>
        <v>2</v>
      </c>
      <c r="C68" s="7">
        <v>0.2</v>
      </c>
    </row>
    <row r="69" spans="1:3" ht="15.75" customHeight="1" x14ac:dyDescent="0.3">
      <c r="A69" s="7">
        <v>2013</v>
      </c>
      <c r="B69" s="7">
        <f t="shared" si="1"/>
        <v>3</v>
      </c>
      <c r="C69" s="7">
        <v>0.2</v>
      </c>
    </row>
    <row r="70" spans="1:3" ht="15.75" customHeight="1" x14ac:dyDescent="0.3">
      <c r="A70" s="7">
        <v>2014</v>
      </c>
      <c r="B70" s="7">
        <f t="shared" si="1"/>
        <v>4</v>
      </c>
      <c r="C70" s="7">
        <v>0.26</v>
      </c>
    </row>
    <row r="71" spans="1:3" ht="15.75" customHeight="1" x14ac:dyDescent="0.3">
      <c r="A71" s="7">
        <v>2015</v>
      </c>
      <c r="B71" s="7">
        <f t="shared" si="1"/>
        <v>5</v>
      </c>
      <c r="C71" s="7">
        <v>0.26</v>
      </c>
    </row>
    <row r="72" spans="1:3" ht="15.75" customHeight="1" x14ac:dyDescent="0.3">
      <c r="A72" s="7">
        <v>2016</v>
      </c>
      <c r="B72" s="7">
        <f t="shared" si="1"/>
        <v>6</v>
      </c>
      <c r="C72" s="7">
        <v>0.26</v>
      </c>
    </row>
    <row r="73" spans="1:3" ht="15.75" customHeight="1" x14ac:dyDescent="0.3">
      <c r="A73" s="7">
        <v>2017</v>
      </c>
      <c r="B73" s="7">
        <f t="shared" si="1"/>
        <v>7</v>
      </c>
      <c r="C73" s="7">
        <v>0.26</v>
      </c>
    </row>
    <row r="74" spans="1:3" ht="15.75" customHeight="1" x14ac:dyDescent="0.3">
      <c r="A74" s="7">
        <v>2018</v>
      </c>
      <c r="B74" s="7">
        <f t="shared" si="1"/>
        <v>8</v>
      </c>
      <c r="C74" s="7">
        <v>0.26</v>
      </c>
    </row>
    <row r="75" spans="1:3" ht="15.75" customHeight="1" x14ac:dyDescent="0.3">
      <c r="A75" s="7">
        <v>2019</v>
      </c>
      <c r="B75" s="7">
        <f t="shared" si="1"/>
        <v>9</v>
      </c>
      <c r="C75" s="7">
        <v>0.26</v>
      </c>
    </row>
    <row r="76" spans="1:3" ht="15.75" customHeight="1" x14ac:dyDescent="0.3">
      <c r="A76" s="7">
        <v>2020</v>
      </c>
      <c r="B76" s="7">
        <f t="shared" si="1"/>
        <v>10</v>
      </c>
      <c r="C76" s="7">
        <v>0.26</v>
      </c>
    </row>
    <row r="77" spans="1:3" ht="15.75" customHeight="1" x14ac:dyDescent="0.3">
      <c r="A77" s="7">
        <v>2021</v>
      </c>
      <c r="B77" s="7">
        <f t="shared" si="1"/>
        <v>11</v>
      </c>
      <c r="C77" s="7">
        <v>0.26</v>
      </c>
    </row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000"/>
  <sheetViews>
    <sheetView workbookViewId="0"/>
  </sheetViews>
  <sheetFormatPr defaultColWidth="12.59765625" defaultRowHeight="15" customHeight="1" x14ac:dyDescent="0.25"/>
  <cols>
    <col min="1" max="1" width="7.69921875" customWidth="1"/>
    <col min="2" max="26" width="5.69921875" customWidth="1"/>
    <col min="27" max="40" width="11" customWidth="1"/>
  </cols>
  <sheetData>
    <row r="1" spans="1:20" ht="15" customHeight="1" x14ac:dyDescent="0.3">
      <c r="A1" s="72" t="s">
        <v>213</v>
      </c>
      <c r="B1" s="18" t="s">
        <v>41</v>
      </c>
      <c r="C1" s="18" t="s">
        <v>42</v>
      </c>
      <c r="D1" s="18" t="s">
        <v>43</v>
      </c>
      <c r="E1" s="18" t="s">
        <v>66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  <c r="N1" s="18" t="s">
        <v>52</v>
      </c>
      <c r="O1" s="18" t="s">
        <v>67</v>
      </c>
      <c r="P1" s="18" t="s">
        <v>54</v>
      </c>
      <c r="Q1" s="18" t="s">
        <v>55</v>
      </c>
      <c r="R1" s="18" t="s">
        <v>56</v>
      </c>
      <c r="S1" s="18" t="s">
        <v>57</v>
      </c>
      <c r="T1" s="18" t="s">
        <v>68</v>
      </c>
    </row>
    <row r="2" spans="1:20" ht="15" customHeight="1" x14ac:dyDescent="0.3">
      <c r="A2" s="18" t="s">
        <v>41</v>
      </c>
      <c r="B2" s="14">
        <v>0.10374530928716801</v>
      </c>
      <c r="C2" s="14">
        <v>2.1960426771401294E-4</v>
      </c>
      <c r="D2" s="14">
        <v>2.3262971443381193E-2</v>
      </c>
      <c r="E2" s="19">
        <v>9.923148315559214E-5</v>
      </c>
      <c r="F2" s="14">
        <v>9.5125780919302471E-4</v>
      </c>
      <c r="G2" s="14">
        <v>1.0879090443784286E-3</v>
      </c>
      <c r="H2" s="14">
        <v>3.4408850422814528E-4</v>
      </c>
      <c r="I2" s="14">
        <v>8.1522982239002895E-3</v>
      </c>
      <c r="J2" s="14">
        <v>1.8612219307587588E-3</v>
      </c>
      <c r="K2" s="14">
        <v>1.3668846384541761E-2</v>
      </c>
      <c r="L2" s="14">
        <v>4.571416964966254E-4</v>
      </c>
      <c r="M2" s="14">
        <v>1.152429339306643E-4</v>
      </c>
      <c r="N2" s="14">
        <v>1.1186341283467073E-4</v>
      </c>
      <c r="O2" s="14">
        <v>1.4537208245877496E-3</v>
      </c>
      <c r="P2" s="14">
        <v>4.7406871957386844E-4</v>
      </c>
      <c r="Q2" s="14">
        <v>2.7292317964672605E-4</v>
      </c>
      <c r="R2" s="14">
        <v>6.6115509836083821E-4</v>
      </c>
      <c r="S2" s="14">
        <v>1.5873155602922034E-3</v>
      </c>
      <c r="T2" s="14">
        <v>6.2449106976269889E-4</v>
      </c>
    </row>
    <row r="3" spans="1:20" ht="15" customHeight="1" x14ac:dyDescent="0.3">
      <c r="A3" s="18" t="s">
        <v>42</v>
      </c>
      <c r="B3" s="14">
        <v>2.4067632353753102E-4</v>
      </c>
      <c r="C3" s="14">
        <v>3.810612930814338E-3</v>
      </c>
      <c r="D3" s="14">
        <v>2.2726221754712367E-3</v>
      </c>
      <c r="E3" s="14">
        <v>1.3841444927754432E-2</v>
      </c>
      <c r="F3" s="14">
        <v>1.0831295809298242E-2</v>
      </c>
      <c r="G3" s="14">
        <v>3.5425532493133503E-3</v>
      </c>
      <c r="H3" s="14">
        <v>3.0176320076357316E-3</v>
      </c>
      <c r="I3" s="14">
        <v>1.422197368185612E-3</v>
      </c>
      <c r="J3" s="14">
        <v>3.3081333714885192E-4</v>
      </c>
      <c r="K3" s="14">
        <v>4.6257945622787857E-4</v>
      </c>
      <c r="L3" s="14">
        <v>4.351670547441835E-4</v>
      </c>
      <c r="M3" s="14">
        <v>1.5443510215259649E-4</v>
      </c>
      <c r="N3" s="14">
        <v>2.099692535660522E-4</v>
      </c>
      <c r="O3" s="14">
        <v>5.8046793252790709E-4</v>
      </c>
      <c r="P3" s="14">
        <v>1.4802428826217267E-4</v>
      </c>
      <c r="Q3" s="14">
        <v>1.8682654904309662E-4</v>
      </c>
      <c r="R3" s="14">
        <v>3.7112811948083102E-4</v>
      </c>
      <c r="S3" s="14">
        <v>4.0903603117502821E-4</v>
      </c>
      <c r="T3" s="14">
        <v>3.0312144101413206E-4</v>
      </c>
    </row>
    <row r="4" spans="1:20" ht="15" customHeight="1" x14ac:dyDescent="0.3">
      <c r="A4" s="18" t="s">
        <v>43</v>
      </c>
      <c r="B4" s="14">
        <v>0.15540443215149416</v>
      </c>
      <c r="C4" s="14">
        <v>0.11165100010535495</v>
      </c>
      <c r="D4" s="14">
        <v>0.24250922060998908</v>
      </c>
      <c r="E4" s="14">
        <v>5.3374266269103014E-2</v>
      </c>
      <c r="F4" s="14">
        <v>1.9935821415707215E-2</v>
      </c>
      <c r="G4" s="14">
        <v>9.3877059487474213E-2</v>
      </c>
      <c r="H4" s="14">
        <v>0.15233042682550599</v>
      </c>
      <c r="I4" s="14">
        <v>6.4435477018470078E-2</v>
      </c>
      <c r="J4" s="14">
        <v>6.5102959470785399E-2</v>
      </c>
      <c r="K4" s="14">
        <v>0.18111867715260485</v>
      </c>
      <c r="L4" s="14">
        <v>6.9920821408186631E-2</v>
      </c>
      <c r="M4" s="14">
        <v>1.9499100712201609E-2</v>
      </c>
      <c r="N4" s="14">
        <v>1.4628376780951071E-2</v>
      </c>
      <c r="O4" s="14">
        <v>7.4389129356611738E-2</v>
      </c>
      <c r="P4" s="14">
        <v>1.0769629756623596E-2</v>
      </c>
      <c r="Q4" s="14">
        <v>1.0674699872908649E-2</v>
      </c>
      <c r="R4" s="14">
        <v>5.2080761373565619E-2</v>
      </c>
      <c r="S4" s="14">
        <v>5.7757284972448669E-2</v>
      </c>
      <c r="T4" s="14">
        <v>4.4605151889155925E-2</v>
      </c>
    </row>
    <row r="5" spans="1:20" ht="15" customHeight="1" x14ac:dyDescent="0.3">
      <c r="A5" s="18" t="s">
        <v>66</v>
      </c>
      <c r="B5" s="14">
        <v>2.9498353739953326E-2</v>
      </c>
      <c r="C5" s="14">
        <v>2.2015147004387978E-2</v>
      </c>
      <c r="D5" s="14">
        <v>9.1784903220345354E-3</v>
      </c>
      <c r="E5" s="14">
        <v>8.4505953109698745E-2</v>
      </c>
      <c r="F5" s="14">
        <v>3.1090322163100637E-2</v>
      </c>
      <c r="G5" s="14">
        <v>2.5653472221591353E-2</v>
      </c>
      <c r="H5" s="14">
        <v>8.1445507836796788E-3</v>
      </c>
      <c r="I5" s="14">
        <v>3.981331317912961E-3</v>
      </c>
      <c r="J5" s="14">
        <v>3.3032825920234821E-2</v>
      </c>
      <c r="K5" s="14">
        <v>6.5628200306766223E-4</v>
      </c>
      <c r="L5" s="14">
        <v>3.1203799210562311E-4</v>
      </c>
      <c r="M5" s="14">
        <v>3.4936394354123505E-4</v>
      </c>
      <c r="N5" s="19">
        <v>3.7482864673009494E-5</v>
      </c>
      <c r="O5" s="14">
        <v>1.94884308490131E-3</v>
      </c>
      <c r="P5" s="14">
        <v>2.5597985102795602E-3</v>
      </c>
      <c r="Q5" s="19">
        <v>8.1513477229843849E-5</v>
      </c>
      <c r="R5" s="14">
        <v>7.5044272044545452E-4</v>
      </c>
      <c r="S5" s="14">
        <v>5.8746694823298034E-4</v>
      </c>
      <c r="T5" s="14">
        <v>1.2577085995669646E-3</v>
      </c>
    </row>
    <row r="6" spans="1:20" ht="15" customHeight="1" x14ac:dyDescent="0.3">
      <c r="A6" s="18" t="s">
        <v>44</v>
      </c>
      <c r="B6" s="14">
        <v>1.8888919295622947E-2</v>
      </c>
      <c r="C6" s="14">
        <v>2.4307134162892652E-2</v>
      </c>
      <c r="D6" s="14">
        <v>2.0732431554660289E-2</v>
      </c>
      <c r="E6" s="14">
        <v>2.0016684421223358E-2</v>
      </c>
      <c r="F6" s="14">
        <v>0.30357991337630441</v>
      </c>
      <c r="G6" s="14">
        <v>2.8412782940434533E-2</v>
      </c>
      <c r="H6" s="14">
        <v>3.7415302340633384E-3</v>
      </c>
      <c r="I6" s="14">
        <v>1.12521138576282E-2</v>
      </c>
      <c r="J6" s="14">
        <v>1.175193098710579E-2</v>
      </c>
      <c r="K6" s="14">
        <v>1.9227682196949269E-2</v>
      </c>
      <c r="L6" s="14">
        <v>4.3288116502690288E-3</v>
      </c>
      <c r="M6" s="14">
        <v>4.2799645744905478E-3</v>
      </c>
      <c r="N6" s="14">
        <v>7.5778449961168195E-4</v>
      </c>
      <c r="O6" s="14">
        <v>6.4691959054863071E-3</v>
      </c>
      <c r="P6" s="14">
        <v>1.5254722239517647E-2</v>
      </c>
      <c r="Q6" s="14">
        <v>6.1493928552628944E-3</v>
      </c>
      <c r="R6" s="14">
        <v>8.7796192044530749E-3</v>
      </c>
      <c r="S6" s="14">
        <v>6.5640574253616581E-3</v>
      </c>
      <c r="T6" s="14">
        <v>2.3766053346228059E-2</v>
      </c>
    </row>
    <row r="7" spans="1:20" ht="15" customHeight="1" x14ac:dyDescent="0.3">
      <c r="A7" s="18" t="s">
        <v>45</v>
      </c>
      <c r="B7" s="14">
        <v>8.1690883170776225E-3</v>
      </c>
      <c r="C7" s="14">
        <v>3.0056323470194636E-2</v>
      </c>
      <c r="D7" s="14">
        <v>1.1936162407594694E-2</v>
      </c>
      <c r="E7" s="14">
        <v>3.9730690095192483E-3</v>
      </c>
      <c r="F7" s="14">
        <v>2.1140546365832867E-2</v>
      </c>
      <c r="G7" s="14">
        <v>0.21525043472720423</v>
      </c>
      <c r="H7" s="14">
        <v>4.0594149274861364E-3</v>
      </c>
      <c r="I7" s="14">
        <v>2.5856282079554935E-3</v>
      </c>
      <c r="J7" s="14">
        <v>4.3482682079309934E-3</v>
      </c>
      <c r="K7" s="14">
        <v>3.5673884551008605E-3</v>
      </c>
      <c r="L7" s="14">
        <v>3.1940125212709812E-3</v>
      </c>
      <c r="M7" s="14">
        <v>1.6085092908147956E-3</v>
      </c>
      <c r="N7" s="14">
        <v>6.7017218171743637E-4</v>
      </c>
      <c r="O7" s="14">
        <v>2.559215394698403E-3</v>
      </c>
      <c r="P7" s="14">
        <v>3.1983923032126989E-3</v>
      </c>
      <c r="Q7" s="14">
        <v>1.5153199992199821E-3</v>
      </c>
      <c r="R7" s="14">
        <v>4.3324979355152064E-3</v>
      </c>
      <c r="S7" s="14">
        <v>4.8031255603246262E-3</v>
      </c>
      <c r="T7" s="14">
        <v>1.9253907815357206E-2</v>
      </c>
    </row>
    <row r="8" spans="1:20" ht="15" customHeight="1" x14ac:dyDescent="0.3">
      <c r="A8" s="18" t="s">
        <v>46</v>
      </c>
      <c r="B8" s="14">
        <v>1.160263810471724E-2</v>
      </c>
      <c r="C8" s="14">
        <v>6.7577325977754713E-3</v>
      </c>
      <c r="D8" s="14">
        <v>6.88481620309767E-3</v>
      </c>
      <c r="E8" s="14">
        <v>6.7258729272026765E-3</v>
      </c>
      <c r="F8" s="14">
        <v>6.5831296993924338E-3</v>
      </c>
      <c r="G8" s="14">
        <v>1.1315728016610202E-2</v>
      </c>
      <c r="H8" s="14">
        <v>0.29089368156230255</v>
      </c>
      <c r="I8" s="14">
        <v>7.7593919789976443E-3</v>
      </c>
      <c r="J8" s="14">
        <v>1.148756218696593E-2</v>
      </c>
      <c r="K8" s="14">
        <v>7.792745033984718E-3</v>
      </c>
      <c r="L8" s="14">
        <v>1.1685181728857165E-2</v>
      </c>
      <c r="M8" s="14">
        <v>5.0567297325153776E-3</v>
      </c>
      <c r="N8" s="14">
        <v>1.3081903192286901E-2</v>
      </c>
      <c r="O8" s="14">
        <v>1.1680775373399427E-2</v>
      </c>
      <c r="P8" s="14">
        <v>1.7752503527418067E-2</v>
      </c>
      <c r="Q8" s="14">
        <v>6.1912214614750589E-3</v>
      </c>
      <c r="R8" s="14">
        <v>1.345045218103723E-2</v>
      </c>
      <c r="S8" s="14">
        <v>6.1967740181631112E-3</v>
      </c>
      <c r="T8" s="14">
        <v>7.7591123794273431E-3</v>
      </c>
    </row>
    <row r="9" spans="1:20" ht="15" customHeight="1" x14ac:dyDescent="0.3">
      <c r="A9" s="18" t="s">
        <v>47</v>
      </c>
      <c r="B9" s="14">
        <v>3.1991253533776812E-2</v>
      </c>
      <c r="C9" s="14">
        <v>3.1666516010984205E-2</v>
      </c>
      <c r="D9" s="14">
        <v>5.9494900572354653E-2</v>
      </c>
      <c r="E9" s="14">
        <v>6.2096101781354614E-2</v>
      </c>
      <c r="F9" s="14">
        <v>3.7184912913653889E-2</v>
      </c>
      <c r="G9" s="14">
        <v>4.531734203377439E-2</v>
      </c>
      <c r="H9" s="14">
        <v>2.4035044231691449E-2</v>
      </c>
      <c r="I9" s="14">
        <v>4.9379108206253991E-2</v>
      </c>
      <c r="J9" s="14">
        <v>3.791196319903465E-2</v>
      </c>
      <c r="K9" s="14">
        <v>3.3863726188236125E-2</v>
      </c>
      <c r="L9" s="14">
        <v>3.3672914597391419E-2</v>
      </c>
      <c r="M9" s="14">
        <v>1.3016671280358745E-2</v>
      </c>
      <c r="N9" s="14">
        <v>3.4296571894662327E-3</v>
      </c>
      <c r="O9" s="14">
        <v>3.8919323444004825E-2</v>
      </c>
      <c r="P9" s="14">
        <v>4.7875229224468843E-3</v>
      </c>
      <c r="Q9" s="14">
        <v>3.6671199706047142E-3</v>
      </c>
      <c r="R9" s="14">
        <v>2.0388171747375811E-2</v>
      </c>
      <c r="S9" s="14">
        <v>2.0919716124948133E-2</v>
      </c>
      <c r="T9" s="14">
        <v>1.1691323490685876E-2</v>
      </c>
    </row>
    <row r="10" spans="1:20" ht="15" customHeight="1" x14ac:dyDescent="0.3">
      <c r="A10" s="18" t="s">
        <v>48</v>
      </c>
      <c r="B10" s="14">
        <v>1.887187894724681E-2</v>
      </c>
      <c r="C10" s="14">
        <v>4.4837453081985869E-2</v>
      </c>
      <c r="D10" s="14">
        <v>3.4195869332121272E-2</v>
      </c>
      <c r="E10" s="14">
        <v>3.5695819354749289E-2</v>
      </c>
      <c r="F10" s="14">
        <v>4.9166011086995122E-2</v>
      </c>
      <c r="G10" s="14">
        <v>2.4893575911206067E-2</v>
      </c>
      <c r="H10" s="14">
        <v>1.9649978463905655E-2</v>
      </c>
      <c r="I10" s="14">
        <v>6.1927751212607886E-2</v>
      </c>
      <c r="J10" s="14">
        <v>0.1926736093310889</v>
      </c>
      <c r="K10" s="14">
        <v>1.4324642461569585E-2</v>
      </c>
      <c r="L10" s="14">
        <v>2.8430044006455338E-2</v>
      </c>
      <c r="M10" s="14">
        <v>1.2891431819692871E-2</v>
      </c>
      <c r="N10" s="14">
        <v>1.9069758261594143E-3</v>
      </c>
      <c r="O10" s="14">
        <v>2.3839110504744153E-2</v>
      </c>
      <c r="P10" s="14">
        <v>1.4502194394960392E-2</v>
      </c>
      <c r="Q10" s="14">
        <v>6.3549372244132143E-3</v>
      </c>
      <c r="R10" s="14">
        <v>6.8465455653487616E-3</v>
      </c>
      <c r="S10" s="14">
        <v>1.6314867474381455E-2</v>
      </c>
      <c r="T10" s="14">
        <v>1.1376489651677077E-2</v>
      </c>
    </row>
    <row r="11" spans="1:20" ht="15" customHeight="1" x14ac:dyDescent="0.3">
      <c r="A11" s="18" t="s">
        <v>49</v>
      </c>
      <c r="B11" s="14">
        <v>8.3014022501591035E-4</v>
      </c>
      <c r="C11" s="14">
        <v>3.8074663024195931E-3</v>
      </c>
      <c r="D11" s="14">
        <v>4.267736734503192E-3</v>
      </c>
      <c r="E11" s="14">
        <v>1.4662830454479901E-3</v>
      </c>
      <c r="F11" s="14">
        <v>7.3763835320381855E-3</v>
      </c>
      <c r="G11" s="14">
        <v>7.9360148673406853E-4</v>
      </c>
      <c r="H11" s="14">
        <v>1.0598729953546738E-2</v>
      </c>
      <c r="I11" s="14">
        <v>8.279999160514747E-3</v>
      </c>
      <c r="J11" s="14">
        <v>4.6869619657332424E-3</v>
      </c>
      <c r="K11" s="14">
        <v>6.2902013080264763E-3</v>
      </c>
      <c r="L11" s="14">
        <v>8.5778346809156809E-3</v>
      </c>
      <c r="M11" s="14">
        <v>2.0028170860486899E-3</v>
      </c>
      <c r="N11" s="14">
        <v>1.5473194964050092E-3</v>
      </c>
      <c r="O11" s="14">
        <v>1.158576430366141E-2</v>
      </c>
      <c r="P11" s="14">
        <v>3.0720465020488688E-3</v>
      </c>
      <c r="Q11" s="14">
        <v>2.7337769660531648E-3</v>
      </c>
      <c r="R11" s="14">
        <v>1.123961834283321E-2</v>
      </c>
      <c r="S11" s="14">
        <v>1.0315095539526122E-2</v>
      </c>
      <c r="T11" s="14">
        <v>4.984261081454497E-3</v>
      </c>
    </row>
    <row r="12" spans="1:20" ht="15" customHeight="1" x14ac:dyDescent="0.3">
      <c r="A12" s="18" t="s">
        <v>50</v>
      </c>
      <c r="B12" s="14">
        <v>1.5189434879745516E-3</v>
      </c>
      <c r="C12" s="14">
        <v>1.4450337798392353E-2</v>
      </c>
      <c r="D12" s="14">
        <v>1.1879404880796512E-2</v>
      </c>
      <c r="E12" s="14">
        <v>5.0638017801280079E-3</v>
      </c>
      <c r="F12" s="14">
        <v>2.0357044062752686E-2</v>
      </c>
      <c r="G12" s="14">
        <v>3.0259897501586652E-2</v>
      </c>
      <c r="H12" s="14">
        <v>1.369223225456077E-2</v>
      </c>
      <c r="I12" s="14">
        <v>2.7612270317283347E-2</v>
      </c>
      <c r="J12" s="14">
        <v>1.3061053178799782E-2</v>
      </c>
      <c r="K12" s="14">
        <v>1.58353495622418E-2</v>
      </c>
      <c r="L12" s="14">
        <v>0.10301134472186069</v>
      </c>
      <c r="M12" s="14">
        <v>3.97807808341799E-2</v>
      </c>
      <c r="N12" s="14">
        <v>3.6814191932236355E-3</v>
      </c>
      <c r="O12" s="14">
        <v>5.7032328806368923E-2</v>
      </c>
      <c r="P12" s="14">
        <v>1.6402143495040083E-2</v>
      </c>
      <c r="Q12" s="14">
        <v>8.2496103058315486E-3</v>
      </c>
      <c r="R12" s="14">
        <v>1.0961077469419486E-2</v>
      </c>
      <c r="S12" s="14">
        <v>4.2587867704186474E-2</v>
      </c>
      <c r="T12" s="14">
        <v>1.5486818344930774E-2</v>
      </c>
    </row>
    <row r="13" spans="1:20" ht="15" customHeight="1" x14ac:dyDescent="0.3">
      <c r="A13" s="18" t="s">
        <v>51</v>
      </c>
      <c r="B13" s="14">
        <v>1.3499267685619301E-2</v>
      </c>
      <c r="C13" s="14">
        <v>1.1013334859799565E-2</v>
      </c>
      <c r="D13" s="14">
        <v>1.7728488501851648E-2</v>
      </c>
      <c r="E13" s="14">
        <v>5.8637536815544138E-3</v>
      </c>
      <c r="F13" s="14">
        <v>1.1362437354852551E-2</v>
      </c>
      <c r="G13" s="14">
        <v>1.5185365162560544E-2</v>
      </c>
      <c r="H13" s="14">
        <v>2.5802207753114842E-2</v>
      </c>
      <c r="I13" s="14">
        <v>4.7345182350175055E-2</v>
      </c>
      <c r="J13" s="14">
        <v>1.5954249210550872E-2</v>
      </c>
      <c r="K13" s="14">
        <v>2.5845966329405348E-2</v>
      </c>
      <c r="L13" s="14">
        <v>2.1521627407381772E-2</v>
      </c>
      <c r="M13" s="14">
        <v>0.17669432441347493</v>
      </c>
      <c r="N13" s="14">
        <v>4.4503532485545831E-2</v>
      </c>
      <c r="O13" s="14">
        <v>2.4721055589746504E-2</v>
      </c>
      <c r="P13" s="14">
        <v>2.9697601121154674E-2</v>
      </c>
      <c r="Q13" s="14">
        <v>6.0466989199751357E-3</v>
      </c>
      <c r="R13" s="14">
        <v>1.1782348176989482E-2</v>
      </c>
      <c r="S13" s="14">
        <v>2.3903975421779855E-2</v>
      </c>
      <c r="T13" s="14">
        <v>1.7759117482350383E-2</v>
      </c>
    </row>
    <row r="14" spans="1:20" ht="15" customHeight="1" x14ac:dyDescent="0.3">
      <c r="A14" s="18" t="s">
        <v>52</v>
      </c>
      <c r="B14" s="14">
        <v>6.9873916080359904E-4</v>
      </c>
      <c r="C14" s="14">
        <v>3.2444436533041313E-3</v>
      </c>
      <c r="D14" s="14">
        <v>9.2240816317221367E-3</v>
      </c>
      <c r="E14" s="14">
        <v>6.3736065135468569E-4</v>
      </c>
      <c r="F14" s="14">
        <v>9.0088389437868871E-3</v>
      </c>
      <c r="G14" s="14">
        <v>6.6739012836345086E-3</v>
      </c>
      <c r="H14" s="14">
        <v>7.4108901430779426E-3</v>
      </c>
      <c r="I14" s="14">
        <v>4.6980174537173451E-2</v>
      </c>
      <c r="J14" s="14">
        <v>1.7516357378856914E-2</v>
      </c>
      <c r="K14" s="14">
        <v>4.8606854836035489E-2</v>
      </c>
      <c r="L14" s="14">
        <v>1.9967799330403116E-2</v>
      </c>
      <c r="M14" s="14">
        <v>2.7415431489657398E-2</v>
      </c>
      <c r="N14" s="14">
        <v>6.8114000713539414E-3</v>
      </c>
      <c r="O14" s="14">
        <v>1.7905404358927318E-2</v>
      </c>
      <c r="P14" s="14">
        <v>1.0140576241051831E-2</v>
      </c>
      <c r="Q14" s="14">
        <v>9.2834855252199207E-3</v>
      </c>
      <c r="R14" s="14">
        <v>1.047745137592632E-2</v>
      </c>
      <c r="S14" s="14">
        <v>2.1872942789214197E-2</v>
      </c>
      <c r="T14" s="14">
        <v>1.9583572978809163E-2</v>
      </c>
    </row>
    <row r="15" spans="1:20" ht="15" customHeight="1" x14ac:dyDescent="0.3">
      <c r="A15" s="18" t="s">
        <v>67</v>
      </c>
      <c r="B15" s="14">
        <v>1.3006168358472204E-2</v>
      </c>
      <c r="C15" s="14">
        <v>5.7542442933667518E-2</v>
      </c>
      <c r="D15" s="14">
        <v>4.5910914733820585E-2</v>
      </c>
      <c r="E15" s="14">
        <v>2.4360951962411684E-2</v>
      </c>
      <c r="F15" s="14">
        <v>2.2923655335330521E-2</v>
      </c>
      <c r="G15" s="14">
        <v>0.12134116416250844</v>
      </c>
      <c r="H15" s="14">
        <v>6.8440904496854499E-2</v>
      </c>
      <c r="I15" s="14">
        <v>9.404537736670808E-2</v>
      </c>
      <c r="J15" s="14">
        <v>5.1856277691276306E-2</v>
      </c>
      <c r="K15" s="14">
        <v>6.2838249958725528E-2</v>
      </c>
      <c r="L15" s="14">
        <v>0.12347375999314356</v>
      </c>
      <c r="M15" s="14">
        <v>5.5760393646371614E-2</v>
      </c>
      <c r="N15" s="14">
        <v>3.4511586332995822E-2</v>
      </c>
      <c r="O15" s="14">
        <v>0.13617773405869965</v>
      </c>
      <c r="P15" s="14">
        <v>5.7343464624039359E-2</v>
      </c>
      <c r="Q15" s="14">
        <v>5.6470434897324173E-2</v>
      </c>
      <c r="R15" s="14">
        <v>7.1668860599816614E-2</v>
      </c>
      <c r="S15" s="14">
        <v>0.12885910849434642</v>
      </c>
      <c r="T15" s="14">
        <v>6.2245466611554494E-2</v>
      </c>
    </row>
    <row r="16" spans="1:20" ht="15" customHeight="1" x14ac:dyDescent="0.3">
      <c r="A16" s="18" t="s">
        <v>54</v>
      </c>
      <c r="B16" s="19">
        <v>2.9098957683042737E-5</v>
      </c>
      <c r="C16" s="14">
        <v>2.9013539537904137E-4</v>
      </c>
      <c r="D16" s="14">
        <v>1.0070139380107335E-3</v>
      </c>
      <c r="E16" s="14">
        <v>9.0027422783614931E-4</v>
      </c>
      <c r="F16" s="14">
        <v>5.3151371711291501E-4</v>
      </c>
      <c r="G16" s="14">
        <v>7.4282176914259332E-4</v>
      </c>
      <c r="H16" s="14">
        <v>2.9515420567346665E-4</v>
      </c>
      <c r="I16" s="14">
        <v>2.5423656600611069E-3</v>
      </c>
      <c r="J16" s="14">
        <v>6.8760357134876134E-4</v>
      </c>
      <c r="K16" s="14">
        <v>6.6775284261108515E-4</v>
      </c>
      <c r="L16" s="14">
        <v>1.6194770520089239E-3</v>
      </c>
      <c r="M16" s="14">
        <v>7.320702225541442E-4</v>
      </c>
      <c r="N16" s="14">
        <v>3.2776102518063647E-4</v>
      </c>
      <c r="O16" s="14">
        <v>1.6366162498421761E-3</v>
      </c>
      <c r="P16" s="14">
        <v>1.9538304357955825E-3</v>
      </c>
      <c r="Q16" s="14">
        <v>9.2761899535800843E-4</v>
      </c>
      <c r="R16" s="14">
        <v>8.9903472607628519E-4</v>
      </c>
      <c r="S16" s="14">
        <v>2.346791844417715E-3</v>
      </c>
      <c r="T16" s="14">
        <v>6.3420757499820586E-4</v>
      </c>
    </row>
    <row r="17" spans="1:20" ht="15" customHeight="1" x14ac:dyDescent="0.3">
      <c r="A17" s="18" t="s">
        <v>55</v>
      </c>
      <c r="B17" s="19">
        <v>7.9666648894793102E-5</v>
      </c>
      <c r="C17" s="14">
        <v>1.4911566842227171E-3</v>
      </c>
      <c r="D17" s="14">
        <v>7.1827979011175993E-4</v>
      </c>
      <c r="E17" s="14">
        <v>1.1896079080003362E-4</v>
      </c>
      <c r="F17" s="14">
        <v>3.7499195743548124E-4</v>
      </c>
      <c r="G17" s="14">
        <v>2.3487022099969944E-3</v>
      </c>
      <c r="H17" s="14">
        <v>5.3762280253093707E-4</v>
      </c>
      <c r="I17" s="14">
        <v>1.8127752902560696E-3</v>
      </c>
      <c r="J17" s="14">
        <v>8.1002436304929701E-4</v>
      </c>
      <c r="K17" s="14">
        <v>5.3181071791077018E-4</v>
      </c>
      <c r="L17" s="14">
        <v>2.4717648227071775E-3</v>
      </c>
      <c r="M17" s="14">
        <v>3.9121405757496533E-4</v>
      </c>
      <c r="N17" s="14">
        <v>5.6348571326908942E-5</v>
      </c>
      <c r="O17" s="14">
        <v>1.6403144350048873E-3</v>
      </c>
      <c r="P17" s="14">
        <v>6.497700433782466E-3</v>
      </c>
      <c r="Q17" s="14">
        <v>5.0024420468453273E-3</v>
      </c>
      <c r="R17" s="14">
        <v>2.5200166856468513E-3</v>
      </c>
      <c r="S17" s="14">
        <v>2.8938064141857673E-3</v>
      </c>
      <c r="T17" s="14">
        <v>4.8112318630116882E-3</v>
      </c>
    </row>
    <row r="18" spans="1:20" ht="15" customHeight="1" x14ac:dyDescent="0.3">
      <c r="A18" s="18" t="s">
        <v>56</v>
      </c>
      <c r="B18" s="19">
        <v>5.1456670108387538E-5</v>
      </c>
      <c r="C18" s="14">
        <v>5.2800683639477356E-4</v>
      </c>
      <c r="D18" s="14">
        <v>3.8456717958663489E-4</v>
      </c>
      <c r="E18" s="14">
        <v>2.6335114945430944E-4</v>
      </c>
      <c r="F18" s="14">
        <v>2.8422884744963665E-4</v>
      </c>
      <c r="G18" s="14">
        <v>7.0556534370088048E-4</v>
      </c>
      <c r="H18" s="14">
        <v>3.2837081999944874E-4</v>
      </c>
      <c r="I18" s="14">
        <v>3.5285852551286803E-4</v>
      </c>
      <c r="J18" s="14">
        <v>3.0509649732724599E-4</v>
      </c>
      <c r="K18" s="14">
        <v>2.9486603312302404E-4</v>
      </c>
      <c r="L18" s="14">
        <v>6.6296409236756286E-4</v>
      </c>
      <c r="M18" s="14">
        <v>2.4912232038364524E-4</v>
      </c>
      <c r="N18" s="14">
        <v>5.7767344985432397E-5</v>
      </c>
      <c r="O18" s="14">
        <v>9.2913494194220194E-4</v>
      </c>
      <c r="P18" s="14">
        <v>5.10853033983259E-3</v>
      </c>
      <c r="Q18" s="14">
        <v>2.0418217387970033E-3</v>
      </c>
      <c r="R18" s="14">
        <v>7.8089693946869515E-2</v>
      </c>
      <c r="S18" s="14">
        <v>1.0313832575304604E-3</v>
      </c>
      <c r="T18" s="14">
        <v>6.3387625786551368E-4</v>
      </c>
    </row>
    <row r="19" spans="1:20" ht="15" customHeight="1" x14ac:dyDescent="0.3">
      <c r="A19" s="18" t="s">
        <v>57</v>
      </c>
      <c r="B19" s="19">
        <v>3.4524448136395198E-4</v>
      </c>
      <c r="C19" s="14">
        <v>4.3666366584422765E-3</v>
      </c>
      <c r="D19" s="14">
        <v>2.7887938140353135E-3</v>
      </c>
      <c r="E19" s="14">
        <v>9.5275754428852716E-4</v>
      </c>
      <c r="F19" s="14">
        <v>1.7133982704282448E-3</v>
      </c>
      <c r="G19" s="14">
        <v>1.1531232040149139E-3</v>
      </c>
      <c r="H19" s="14">
        <v>2.5324499645240865E-3</v>
      </c>
      <c r="I19" s="14">
        <v>4.8292162673442916E-3</v>
      </c>
      <c r="J19" s="14">
        <v>1.7469122803520189E-3</v>
      </c>
      <c r="K19" s="14">
        <v>2.1155165808008211E-3</v>
      </c>
      <c r="L19" s="14">
        <v>1.4226205274547397E-2</v>
      </c>
      <c r="M19" s="14">
        <v>6.2898181798934632E-4</v>
      </c>
      <c r="N19" s="14">
        <v>7.6879242518606119E-4</v>
      </c>
      <c r="O19" s="14">
        <v>4.530292100311019E-3</v>
      </c>
      <c r="P19" s="14">
        <v>3.6486828339091682E-3</v>
      </c>
      <c r="Q19" s="14">
        <v>5.4575576191953049E-4</v>
      </c>
      <c r="R19" s="14">
        <v>9.7694083164519296E-4</v>
      </c>
      <c r="S19" s="14">
        <v>0.18641184942693043</v>
      </c>
      <c r="T19" s="14">
        <v>4.0147104977367948E-3</v>
      </c>
    </row>
    <row r="20" spans="1:20" ht="15" customHeight="1" x14ac:dyDescent="0.3">
      <c r="A20" s="18" t="s">
        <v>68</v>
      </c>
      <c r="B20" s="14">
        <v>4.3670481336617484E-3</v>
      </c>
      <c r="C20" s="14">
        <v>1.1794837896625826E-3</v>
      </c>
      <c r="D20" s="14">
        <v>1.4770386066760796E-3</v>
      </c>
      <c r="E20" s="14">
        <v>7.2268083927098763E-4</v>
      </c>
      <c r="F20" s="14">
        <v>3.5260567339966921E-3</v>
      </c>
      <c r="G20" s="14">
        <v>1.311773095441E-3</v>
      </c>
      <c r="H20" s="14">
        <v>4.118700988851331E-3</v>
      </c>
      <c r="I20" s="14">
        <v>2.4488263278868942E-3</v>
      </c>
      <c r="J20" s="14">
        <v>1.205423194014629E-3</v>
      </c>
      <c r="K20" s="14">
        <v>2.0169096381204041E-3</v>
      </c>
      <c r="L20" s="14">
        <v>3.4539493816187422E-3</v>
      </c>
      <c r="M20" s="14">
        <v>5.4700455454012391E-4</v>
      </c>
      <c r="N20" s="14">
        <v>4.1317728838459309E-4</v>
      </c>
      <c r="O20" s="14">
        <v>2.5818090867592665E-3</v>
      </c>
      <c r="P20" s="14">
        <v>7.768767685572219E-4</v>
      </c>
      <c r="Q20" s="14">
        <v>5.6149702208384798E-4</v>
      </c>
      <c r="R20" s="14">
        <v>1.0027475500525592E-2</v>
      </c>
      <c r="S20" s="14">
        <v>5.0888208009714402E-3</v>
      </c>
      <c r="T20" s="14">
        <v>4.7304467674852725E-3</v>
      </c>
    </row>
    <row r="21" spans="1:2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3">
      <c r="A23" s="18" t="s">
        <v>214</v>
      </c>
      <c r="B23" s="18">
        <v>1</v>
      </c>
      <c r="C23" s="18">
        <v>2</v>
      </c>
      <c r="D23" s="18">
        <v>3</v>
      </c>
      <c r="E23" s="18">
        <v>4</v>
      </c>
      <c r="F23" s="18">
        <v>5</v>
      </c>
      <c r="G23" s="18">
        <v>6</v>
      </c>
      <c r="H23" s="18">
        <v>7</v>
      </c>
      <c r="I23" s="18">
        <v>8</v>
      </c>
      <c r="J23" s="18">
        <v>9</v>
      </c>
      <c r="K23" s="18">
        <v>10</v>
      </c>
      <c r="L23" s="18">
        <v>11</v>
      </c>
      <c r="M23" s="18">
        <v>12</v>
      </c>
      <c r="N23" s="18">
        <v>13</v>
      </c>
      <c r="O23" s="18">
        <v>14</v>
      </c>
      <c r="P23" s="18">
        <v>15</v>
      </c>
      <c r="Q23" s="18">
        <v>16</v>
      </c>
      <c r="R23" s="18">
        <v>17</v>
      </c>
      <c r="S23" s="18">
        <v>18</v>
      </c>
      <c r="T23" s="18">
        <v>19</v>
      </c>
    </row>
    <row r="24" spans="1:20" ht="15.75" customHeight="1" x14ac:dyDescent="0.3">
      <c r="A24" s="73" t="s">
        <v>215</v>
      </c>
      <c r="B24" s="18" t="s">
        <v>41</v>
      </c>
      <c r="C24" s="18" t="s">
        <v>42</v>
      </c>
      <c r="D24" s="18" t="s">
        <v>43</v>
      </c>
      <c r="E24" s="18" t="s">
        <v>66</v>
      </c>
      <c r="F24" s="18" t="s">
        <v>44</v>
      </c>
      <c r="G24" s="18" t="s">
        <v>45</v>
      </c>
      <c r="H24" s="18" t="s">
        <v>46</v>
      </c>
      <c r="I24" s="18" t="s">
        <v>47</v>
      </c>
      <c r="J24" s="18" t="s">
        <v>48</v>
      </c>
      <c r="K24" s="18" t="s">
        <v>49</v>
      </c>
      <c r="L24" s="18" t="s">
        <v>50</v>
      </c>
      <c r="M24" s="18" t="s">
        <v>51</v>
      </c>
      <c r="N24" s="18" t="s">
        <v>52</v>
      </c>
      <c r="O24" s="18" t="s">
        <v>67</v>
      </c>
      <c r="P24" s="18" t="s">
        <v>54</v>
      </c>
      <c r="Q24" s="18" t="s">
        <v>55</v>
      </c>
      <c r="R24" s="18" t="s">
        <v>56</v>
      </c>
      <c r="S24" s="18" t="s">
        <v>57</v>
      </c>
      <c r="T24" s="18" t="s">
        <v>68</v>
      </c>
    </row>
    <row r="25" spans="1:20" ht="15.75" customHeight="1" x14ac:dyDescent="0.3">
      <c r="A25" s="18" t="s">
        <v>41</v>
      </c>
      <c r="B25" s="89" t="s">
        <v>216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 ht="15.75" customHeight="1" x14ac:dyDescent="0.3">
      <c r="A26" s="18" t="s">
        <v>42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 ht="15.75" customHeight="1" x14ac:dyDescent="0.3">
      <c r="A27" s="18" t="s">
        <v>43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 ht="15.75" customHeight="1" x14ac:dyDescent="0.3">
      <c r="A28" s="18" t="s">
        <v>66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 ht="15.75" customHeight="1" x14ac:dyDescent="0.3">
      <c r="A29" s="18" t="s">
        <v>44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</row>
    <row r="30" spans="1:20" ht="15.75" customHeight="1" x14ac:dyDescent="0.3">
      <c r="A30" s="18" t="s">
        <v>45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 ht="15.75" customHeight="1" x14ac:dyDescent="0.3">
      <c r="A31" s="18" t="s">
        <v>46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 ht="15.75" customHeight="1" x14ac:dyDescent="0.3">
      <c r="A32" s="18" t="s">
        <v>47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40" ht="15.75" customHeight="1" x14ac:dyDescent="0.3">
      <c r="A33" s="18" t="s">
        <v>48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40" ht="15.75" customHeight="1" x14ac:dyDescent="0.3">
      <c r="A34" s="18" t="s">
        <v>49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40" ht="15.75" customHeight="1" x14ac:dyDescent="0.3">
      <c r="A35" s="18" t="s">
        <v>50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40" ht="15.75" customHeight="1" x14ac:dyDescent="0.3">
      <c r="A36" s="18" t="s">
        <v>51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40" ht="15.75" customHeight="1" x14ac:dyDescent="0.3">
      <c r="A37" s="18" t="s">
        <v>52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</row>
    <row r="38" spans="1:40" ht="15.75" customHeight="1" x14ac:dyDescent="0.3">
      <c r="A38" s="18" t="s">
        <v>67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</row>
    <row r="39" spans="1:40" ht="15.75" customHeight="1" x14ac:dyDescent="0.3">
      <c r="A39" s="18" t="s">
        <v>54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40" ht="15.75" customHeight="1" x14ac:dyDescent="0.3">
      <c r="A40" s="18" t="s">
        <v>55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40" ht="15.75" customHeight="1" x14ac:dyDescent="0.3">
      <c r="A41" s="18" t="s">
        <v>56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40" ht="15.75" customHeight="1" x14ac:dyDescent="0.3">
      <c r="A42" s="18" t="s">
        <v>57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40" ht="15.75" customHeight="1" x14ac:dyDescent="0.3">
      <c r="A43" s="18" t="s">
        <v>68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40" ht="15.75" customHeight="1" x14ac:dyDescent="0.25"/>
    <row r="45" spans="1:40" ht="15.75" customHeight="1" x14ac:dyDescent="0.25"/>
    <row r="46" spans="1:40" ht="15.75" customHeight="1" x14ac:dyDescent="0.3">
      <c r="A46" s="28" t="s">
        <v>217</v>
      </c>
      <c r="B46" s="16" t="s">
        <v>41</v>
      </c>
      <c r="C46" s="16" t="s">
        <v>42</v>
      </c>
      <c r="D46" s="16" t="s">
        <v>43</v>
      </c>
      <c r="E46" s="16" t="s">
        <v>66</v>
      </c>
      <c r="F46" s="16" t="s">
        <v>44</v>
      </c>
      <c r="G46" s="16" t="s">
        <v>45</v>
      </c>
      <c r="H46" s="16" t="s">
        <v>46</v>
      </c>
      <c r="I46" s="16" t="s">
        <v>47</v>
      </c>
      <c r="J46" s="16" t="s">
        <v>48</v>
      </c>
      <c r="K46" s="16" t="s">
        <v>49</v>
      </c>
      <c r="L46" s="16" t="s">
        <v>50</v>
      </c>
      <c r="M46" s="16" t="s">
        <v>51</v>
      </c>
      <c r="N46" s="16" t="s">
        <v>52</v>
      </c>
      <c r="O46" s="16" t="s">
        <v>67</v>
      </c>
      <c r="P46" s="16" t="s">
        <v>54</v>
      </c>
      <c r="Q46" s="16" t="s">
        <v>55</v>
      </c>
      <c r="R46" s="16" t="s">
        <v>56</v>
      </c>
      <c r="S46" s="16" t="s">
        <v>57</v>
      </c>
      <c r="T46" s="16" t="s">
        <v>68</v>
      </c>
      <c r="V46" s="16" t="s">
        <v>41</v>
      </c>
      <c r="W46" s="16" t="s">
        <v>42</v>
      </c>
      <c r="X46" s="16" t="s">
        <v>43</v>
      </c>
      <c r="Y46" s="16" t="s">
        <v>66</v>
      </c>
      <c r="Z46" s="16" t="s">
        <v>44</v>
      </c>
      <c r="AA46" s="16" t="s">
        <v>45</v>
      </c>
      <c r="AB46" s="16" t="s">
        <v>46</v>
      </c>
      <c r="AC46" s="16" t="s">
        <v>47</v>
      </c>
      <c r="AD46" s="16" t="s">
        <v>48</v>
      </c>
      <c r="AE46" s="16" t="s">
        <v>49</v>
      </c>
      <c r="AF46" s="16" t="s">
        <v>50</v>
      </c>
      <c r="AG46" s="16" t="s">
        <v>51</v>
      </c>
      <c r="AH46" s="16" t="s">
        <v>52</v>
      </c>
      <c r="AI46" s="16" t="s">
        <v>67</v>
      </c>
      <c r="AJ46" s="16" t="s">
        <v>54</v>
      </c>
      <c r="AK46" s="16" t="s">
        <v>55</v>
      </c>
      <c r="AL46" s="16" t="s">
        <v>56</v>
      </c>
      <c r="AM46" s="16" t="s">
        <v>57</v>
      </c>
      <c r="AN46" s="16" t="s">
        <v>68</v>
      </c>
    </row>
    <row r="47" spans="1:40" ht="15.75" customHeight="1" x14ac:dyDescent="0.3">
      <c r="A47" s="16" t="s">
        <v>41</v>
      </c>
      <c r="B47" s="64">
        <v>-5.0000000000000001E-3</v>
      </c>
      <c r="C47" s="74">
        <v>-6.0000000000000002E-5</v>
      </c>
      <c r="D47" s="64">
        <v>-3.0000000000000001E-3</v>
      </c>
      <c r="E47" s="74">
        <v>1.0000000000000001E-5</v>
      </c>
      <c r="F47" s="74">
        <v>-1.9999999999999999E-6</v>
      </c>
      <c r="G47" s="64">
        <v>-2.0700000000000001E-6</v>
      </c>
      <c r="H47" s="64">
        <v>-6.4040000000000003E-5</v>
      </c>
      <c r="I47" s="64">
        <v>-1.26162E-3</v>
      </c>
      <c r="J47" s="64">
        <v>-1.9027899999999999E-3</v>
      </c>
      <c r="K47" s="64">
        <v>-3.18323E-3</v>
      </c>
      <c r="L47" s="64">
        <v>1.6500000000000001E-6</v>
      </c>
      <c r="M47" s="64">
        <v>1.6500000000000001E-6</v>
      </c>
      <c r="N47" s="64">
        <v>-6.4040000000000003E-5</v>
      </c>
      <c r="O47" s="64">
        <v>-2.9819999999999999E-5</v>
      </c>
      <c r="P47" s="64">
        <v>-2.1100000000000001E-5</v>
      </c>
      <c r="Q47" s="64">
        <v>-3.854E-5</v>
      </c>
      <c r="R47" s="64">
        <v>3.3799999999999998E-6</v>
      </c>
      <c r="S47" s="64">
        <v>-1.1171999999999999E-4</v>
      </c>
      <c r="T47" s="64">
        <v>-1.1171999999999999E-4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.75" customHeight="1" x14ac:dyDescent="0.3">
      <c r="A48" s="16" t="s">
        <v>42</v>
      </c>
      <c r="B48" s="74">
        <v>4.0000000000000003E-5</v>
      </c>
      <c r="C48" s="64">
        <v>8.9999999999999998E-4</v>
      </c>
      <c r="D48" s="64">
        <v>1.6999999999999999E-3</v>
      </c>
      <c r="E48" s="64">
        <v>2.23E-2</v>
      </c>
      <c r="F48" s="64">
        <v>1.3100000000000001E-2</v>
      </c>
      <c r="G48" s="64">
        <v>1.30858E-2</v>
      </c>
      <c r="H48" s="64">
        <v>1.0874000000000001E-4</v>
      </c>
      <c r="I48" s="64">
        <v>1.2247000000000001E-4</v>
      </c>
      <c r="J48" s="64">
        <v>7.2700000000000005E-5</v>
      </c>
      <c r="K48" s="64">
        <v>9.1500000000000005E-6</v>
      </c>
      <c r="L48" s="64">
        <v>4.1300000000000003E-6</v>
      </c>
      <c r="M48" s="64">
        <v>4.1300000000000003E-6</v>
      </c>
      <c r="N48" s="64">
        <v>1.0874000000000001E-4</v>
      </c>
      <c r="O48" s="64">
        <v>4.16E-6</v>
      </c>
      <c r="P48" s="64">
        <v>4.2699999999999998E-6</v>
      </c>
      <c r="Q48" s="64">
        <v>4.0600000000000001E-6</v>
      </c>
      <c r="R48" s="64">
        <v>4.5399999999999997E-6</v>
      </c>
      <c r="S48" s="64">
        <v>1.079E-5</v>
      </c>
      <c r="T48" s="64">
        <v>1.079E-5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.75" customHeight="1" x14ac:dyDescent="0.3">
      <c r="A49" s="16" t="s">
        <v>43</v>
      </c>
      <c r="B49" s="64">
        <v>1.1999999999999999E-3</v>
      </c>
      <c r="C49" s="64">
        <v>6.9999999999999999E-4</v>
      </c>
      <c r="D49" s="64">
        <v>-4.2000000000000003E-2</v>
      </c>
      <c r="E49" s="74">
        <v>-1E-4</v>
      </c>
      <c r="F49" s="74">
        <v>-1E-4</v>
      </c>
      <c r="G49" s="64">
        <v>-1.2938000000000001E-4</v>
      </c>
      <c r="H49" s="64">
        <v>-5.9220499999999999E-3</v>
      </c>
      <c r="I49" s="64">
        <v>-2.1540600000000002E-3</v>
      </c>
      <c r="J49" s="64">
        <v>-7.8426899999999994E-3</v>
      </c>
      <c r="K49" s="64">
        <v>1.7139999999999999E-5</v>
      </c>
      <c r="L49" s="64">
        <v>-1.0010000000000001E-5</v>
      </c>
      <c r="M49" s="64">
        <v>-1.0010000000000001E-5</v>
      </c>
      <c r="N49" s="64">
        <v>-5.9220499999999999E-3</v>
      </c>
      <c r="O49" s="64">
        <v>-3.8024000000000001E-4</v>
      </c>
      <c r="P49" s="64">
        <v>-6.7725000000000001E-4</v>
      </c>
      <c r="Q49" s="64">
        <v>-8.3230000000000001E-5</v>
      </c>
      <c r="R49" s="64">
        <v>-2.5677000000000002E-4</v>
      </c>
      <c r="S49" s="64">
        <v>-2.2628000000000001E-4</v>
      </c>
      <c r="T49" s="64">
        <v>-2.2628000000000001E-4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.75" customHeight="1" x14ac:dyDescent="0.3">
      <c r="A50" s="16" t="s">
        <v>66</v>
      </c>
      <c r="B50" s="64">
        <v>5.0000000000000001E-4</v>
      </c>
      <c r="C50" s="64">
        <v>2.0000000000000001E-4</v>
      </c>
      <c r="D50" s="64">
        <v>1.1000000000000001E-3</v>
      </c>
      <c r="E50" s="64">
        <v>-3.0000000000000001E-3</v>
      </c>
      <c r="F50" s="64">
        <v>-2E-3</v>
      </c>
      <c r="G50" s="64">
        <v>-1.90708E-3</v>
      </c>
      <c r="H50" s="64">
        <v>8.5400000000000002E-5</v>
      </c>
      <c r="I50" s="64">
        <v>-2.2976E-4</v>
      </c>
      <c r="J50" s="64">
        <v>6.1002000000000001E-3</v>
      </c>
      <c r="K50" s="64">
        <v>-5.1000000000000003E-6</v>
      </c>
      <c r="L50" s="64">
        <v>-5.2219999999999998E-5</v>
      </c>
      <c r="M50" s="64">
        <v>-5.2219999999999998E-5</v>
      </c>
      <c r="N50" s="64">
        <v>8.5400000000000002E-5</v>
      </c>
      <c r="O50" s="64">
        <v>1.641E-5</v>
      </c>
      <c r="P50" s="64">
        <v>1.933E-5</v>
      </c>
      <c r="Q50" s="64">
        <v>1.348E-5</v>
      </c>
      <c r="R50" s="64">
        <v>2.1900000000000002E-6</v>
      </c>
      <c r="S50" s="64">
        <v>6.2329999999999994E-5</v>
      </c>
      <c r="T50" s="64">
        <v>6.2329999999999994E-5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.75" customHeight="1" x14ac:dyDescent="0.3">
      <c r="A51" s="16" t="s">
        <v>44</v>
      </c>
      <c r="B51" s="64">
        <v>2.2000000000000001E-3</v>
      </c>
      <c r="C51" s="64">
        <v>1.1000000000000001E-3</v>
      </c>
      <c r="D51" s="64">
        <v>1.0699999999999999E-2</v>
      </c>
      <c r="E51" s="74">
        <v>-4.0000000000000002E-4</v>
      </c>
      <c r="F51" s="64">
        <v>4.0000000000000002E-4</v>
      </c>
      <c r="G51" s="64">
        <v>4.0414999999999998E-4</v>
      </c>
      <c r="H51" s="64">
        <v>4.7898999999999999E-4</v>
      </c>
      <c r="I51" s="64">
        <v>1.90647E-3</v>
      </c>
      <c r="J51" s="64">
        <v>1.21678E-3</v>
      </c>
      <c r="K51" s="64">
        <v>9.3159999999999998E-4</v>
      </c>
      <c r="L51" s="64">
        <v>2.6769999999999999E-5</v>
      </c>
      <c r="M51" s="64">
        <v>2.6769999999999999E-5</v>
      </c>
      <c r="N51" s="64">
        <v>4.7898999999999999E-4</v>
      </c>
      <c r="O51" s="64">
        <v>3.2579000000000001E-4</v>
      </c>
      <c r="P51" s="64">
        <v>3.7208E-4</v>
      </c>
      <c r="Q51" s="64">
        <v>2.7950000000000002E-4</v>
      </c>
      <c r="R51" s="64">
        <v>2.0479E-4</v>
      </c>
      <c r="S51" s="64">
        <v>6.6474999999999998E-4</v>
      </c>
      <c r="T51" s="64">
        <v>6.6474999999999998E-4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.75" customHeight="1" x14ac:dyDescent="0.3">
      <c r="A52" s="16" t="s">
        <v>45</v>
      </c>
      <c r="B52" s="64">
        <v>2.2000000000000001E-3</v>
      </c>
      <c r="C52" s="64">
        <v>1.1000000000000001E-3</v>
      </c>
      <c r="D52" s="64">
        <v>1.0699999999999999E-2</v>
      </c>
      <c r="E52" s="74">
        <v>-4.0000000000000002E-4</v>
      </c>
      <c r="F52" s="64">
        <v>4.0000000000000002E-4</v>
      </c>
      <c r="G52" s="64">
        <v>4.0414999999999998E-4</v>
      </c>
      <c r="H52" s="64">
        <v>4.7898999999999999E-4</v>
      </c>
      <c r="I52" s="64">
        <v>1.90647E-3</v>
      </c>
      <c r="J52" s="64">
        <v>1.21678E-3</v>
      </c>
      <c r="K52" s="64">
        <v>9.3159999999999998E-4</v>
      </c>
      <c r="L52" s="64">
        <v>2.6769999999999999E-5</v>
      </c>
      <c r="M52" s="64">
        <v>2.6769999999999999E-5</v>
      </c>
      <c r="N52" s="64">
        <v>4.7898999999999999E-4</v>
      </c>
      <c r="O52" s="64">
        <v>3.2579000000000001E-4</v>
      </c>
      <c r="P52" s="64">
        <v>3.7208E-4</v>
      </c>
      <c r="Q52" s="64">
        <v>2.7950000000000002E-4</v>
      </c>
      <c r="R52" s="64">
        <v>2.0479E-4</v>
      </c>
      <c r="S52" s="64">
        <v>6.6474999999999998E-4</v>
      </c>
      <c r="T52" s="64">
        <v>6.6474999999999998E-4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.75" customHeight="1" x14ac:dyDescent="0.3">
      <c r="A53" s="16" t="s">
        <v>46</v>
      </c>
      <c r="B53" s="64">
        <v>2.3999999999999998E-3</v>
      </c>
      <c r="C53" s="64">
        <v>1.1999999999999999E-3</v>
      </c>
      <c r="D53" s="64">
        <v>1.7999999999999999E-2</v>
      </c>
      <c r="E53" s="74">
        <v>-2.0000000000000001E-4</v>
      </c>
      <c r="F53" s="74">
        <v>-5.9999999999999995E-4</v>
      </c>
      <c r="G53" s="64">
        <v>-5.9369000000000002E-4</v>
      </c>
      <c r="H53" s="64">
        <v>3.6019300000000001E-3</v>
      </c>
      <c r="I53" s="64">
        <v>1.155667E-2</v>
      </c>
      <c r="J53" s="64">
        <v>5.1365899999999999E-3</v>
      </c>
      <c r="K53" s="64">
        <v>2.3217400000000001E-3</v>
      </c>
      <c r="L53" s="64">
        <v>2.8762800000000002E-3</v>
      </c>
      <c r="M53" s="64">
        <v>2.8762800000000002E-3</v>
      </c>
      <c r="N53" s="64">
        <v>3.6019300000000001E-3</v>
      </c>
      <c r="O53" s="64">
        <v>1.01081E-3</v>
      </c>
      <c r="P53" s="64">
        <v>9.8736000000000006E-4</v>
      </c>
      <c r="Q53" s="64">
        <v>1.03426E-3</v>
      </c>
      <c r="R53" s="64">
        <v>1.6284800000000001E-3</v>
      </c>
      <c r="S53" s="64">
        <v>1.8238499999999999E-3</v>
      </c>
      <c r="T53" s="64">
        <v>1.8238499999999999E-3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.75" customHeight="1" x14ac:dyDescent="0.3">
      <c r="A54" s="16" t="s">
        <v>47</v>
      </c>
      <c r="B54" s="64">
        <v>2.0999999999999999E-3</v>
      </c>
      <c r="C54" s="64">
        <v>1E-3</v>
      </c>
      <c r="D54" s="64">
        <v>1.26E-2</v>
      </c>
      <c r="E54" s="64">
        <v>1.9E-3</v>
      </c>
      <c r="F54" s="64">
        <v>1.1999999999999999E-3</v>
      </c>
      <c r="G54" s="64">
        <v>1.1910600000000001E-3</v>
      </c>
      <c r="H54" s="64">
        <v>1.1378E-4</v>
      </c>
      <c r="I54" s="64">
        <v>2.76428E-3</v>
      </c>
      <c r="J54" s="64">
        <v>2.4780100000000001E-3</v>
      </c>
      <c r="K54" s="64">
        <v>-8.2019000000000005E-4</v>
      </c>
      <c r="L54" s="64">
        <v>1.3062999999999999E-4</v>
      </c>
      <c r="M54" s="64">
        <v>1.3062999999999999E-4</v>
      </c>
      <c r="N54" s="64">
        <v>1.1378E-4</v>
      </c>
      <c r="O54" s="64">
        <v>-6.4220000000000005E-5</v>
      </c>
      <c r="P54" s="64">
        <v>-6.4900000000000005E-5</v>
      </c>
      <c r="Q54" s="64">
        <v>-6.3540000000000005E-5</v>
      </c>
      <c r="R54" s="64">
        <v>2.2425E-4</v>
      </c>
      <c r="S54" s="64">
        <v>7.4519999999999998E-5</v>
      </c>
      <c r="T54" s="64">
        <v>7.4519999999999998E-5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.75" customHeight="1" x14ac:dyDescent="0.3">
      <c r="A55" s="16" t="s">
        <v>48</v>
      </c>
      <c r="B55" s="64">
        <v>2.2000000000000001E-3</v>
      </c>
      <c r="C55" s="64">
        <v>8.9999999999999998E-4</v>
      </c>
      <c r="D55" s="64">
        <v>8.6999999999999994E-3</v>
      </c>
      <c r="E55" s="64">
        <v>8.9999999999999998E-4</v>
      </c>
      <c r="F55" s="64">
        <v>1.2999999999999999E-3</v>
      </c>
      <c r="G55" s="64">
        <v>1.28174E-3</v>
      </c>
      <c r="H55" s="64">
        <v>-4.5250000000000002E-5</v>
      </c>
      <c r="I55" s="64">
        <v>4.2469500000000002E-3</v>
      </c>
      <c r="J55" s="64">
        <v>1.4934630000000001E-2</v>
      </c>
      <c r="K55" s="64">
        <v>4.6998999999999999E-4</v>
      </c>
      <c r="L55" s="64">
        <v>3.1108999999999998E-4</v>
      </c>
      <c r="M55" s="64">
        <v>3.1108999999999998E-4</v>
      </c>
      <c r="N55" s="64">
        <v>-4.5250000000000002E-5</v>
      </c>
      <c r="O55" s="64">
        <v>-1.9258E-4</v>
      </c>
      <c r="P55" s="64">
        <v>-2.0108999999999999E-4</v>
      </c>
      <c r="Q55" s="64">
        <v>-1.8406999999999999E-4</v>
      </c>
      <c r="R55" s="64">
        <v>3.1407000000000001E-4</v>
      </c>
      <c r="S55" s="64">
        <v>2.8929999999999998E-4</v>
      </c>
      <c r="T55" s="64">
        <v>2.8929999999999998E-4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.75" customHeight="1" x14ac:dyDescent="0.3">
      <c r="A56" s="16" t="s">
        <v>49</v>
      </c>
      <c r="B56" s="64">
        <v>1E-4</v>
      </c>
      <c r="C56" s="64">
        <v>1E-4</v>
      </c>
      <c r="D56" s="64">
        <v>1.6000000000000001E-3</v>
      </c>
      <c r="E56" s="74">
        <v>-5.0000000000000002E-5</v>
      </c>
      <c r="F56" s="74">
        <v>6.0000000000000002E-5</v>
      </c>
      <c r="G56" s="64">
        <v>5.5970000000000001E-5</v>
      </c>
      <c r="H56" s="64">
        <v>1.4323999999999999E-4</v>
      </c>
      <c r="I56" s="64">
        <v>4.8129999999999999E-4</v>
      </c>
      <c r="J56" s="64">
        <v>3.5289000000000002E-4</v>
      </c>
      <c r="K56" s="64">
        <v>1.9950999999999999E-4</v>
      </c>
      <c r="L56" s="64">
        <v>5.113E-5</v>
      </c>
      <c r="M56" s="64">
        <v>5.113E-5</v>
      </c>
      <c r="N56" s="64">
        <v>1.4323999999999999E-4</v>
      </c>
      <c r="O56" s="64">
        <v>-4.9085999999999997E-4</v>
      </c>
      <c r="P56" s="64">
        <v>-4.4060000000000002E-5</v>
      </c>
      <c r="Q56" s="64">
        <v>-9.3765999999999999E-4</v>
      </c>
      <c r="R56" s="64">
        <v>-9.3739999999999994E-5</v>
      </c>
      <c r="S56" s="64">
        <v>9.7759999999999999E-5</v>
      </c>
      <c r="T56" s="64">
        <v>9.7759999999999999E-5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.75" customHeight="1" x14ac:dyDescent="0.3">
      <c r="A57" s="16" t="s">
        <v>50</v>
      </c>
      <c r="B57" s="64">
        <v>1E-3</v>
      </c>
      <c r="C57" s="64">
        <v>4.0000000000000002E-4</v>
      </c>
      <c r="D57" s="64">
        <v>4.0000000000000001E-3</v>
      </c>
      <c r="E57" s="74">
        <v>-6.9999999999999994E-5</v>
      </c>
      <c r="F57" s="64">
        <v>1E-4</v>
      </c>
      <c r="G57" s="64">
        <v>1.4679999999999999E-4</v>
      </c>
      <c r="H57" s="64">
        <v>6.5384999999999998E-4</v>
      </c>
      <c r="I57" s="64">
        <v>1.00551E-3</v>
      </c>
      <c r="J57" s="64">
        <v>1.9811799999999999E-3</v>
      </c>
      <c r="K57" s="64">
        <v>3.5604000000000001E-4</v>
      </c>
      <c r="L57" s="64">
        <v>3.8538399999999999E-3</v>
      </c>
      <c r="M57" s="64">
        <v>3.8538399999999999E-3</v>
      </c>
      <c r="N57" s="64">
        <v>6.5384999999999998E-4</v>
      </c>
      <c r="O57" s="64">
        <v>3.2089999999999999E-4</v>
      </c>
      <c r="P57" s="64">
        <v>8.4194000000000001E-4</v>
      </c>
      <c r="Q57" s="64">
        <v>-2.0013999999999999E-4</v>
      </c>
      <c r="R57" s="64">
        <v>-9.1529999999999999E-5</v>
      </c>
      <c r="S57" s="64">
        <v>3.3168E-4</v>
      </c>
      <c r="T57" s="64">
        <v>3.3168E-4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.75" customHeight="1" x14ac:dyDescent="0.3">
      <c r="A58" s="16" t="s">
        <v>51</v>
      </c>
      <c r="B58" s="64">
        <v>1E-3</v>
      </c>
      <c r="C58" s="64">
        <v>4.0000000000000002E-4</v>
      </c>
      <c r="D58" s="64">
        <v>4.0000000000000001E-3</v>
      </c>
      <c r="E58" s="74">
        <v>-6.9999999999999994E-5</v>
      </c>
      <c r="F58" s="64">
        <v>1E-4</v>
      </c>
      <c r="G58" s="64">
        <v>1.4679999999999999E-4</v>
      </c>
      <c r="H58" s="64">
        <v>6.5384999999999998E-4</v>
      </c>
      <c r="I58" s="64">
        <v>1.00551E-3</v>
      </c>
      <c r="J58" s="64">
        <v>1.9811799999999999E-3</v>
      </c>
      <c r="K58" s="64">
        <v>3.5604000000000001E-4</v>
      </c>
      <c r="L58" s="64">
        <v>3.8538399999999999E-3</v>
      </c>
      <c r="M58" s="64">
        <v>3.8538399999999999E-3</v>
      </c>
      <c r="N58" s="64">
        <v>6.5384999999999998E-4</v>
      </c>
      <c r="O58" s="64">
        <v>3.2089999999999999E-4</v>
      </c>
      <c r="P58" s="64">
        <v>8.4194000000000001E-4</v>
      </c>
      <c r="Q58" s="64">
        <v>-2.0013999999999999E-4</v>
      </c>
      <c r="R58" s="64">
        <v>-9.1529999999999999E-5</v>
      </c>
      <c r="S58" s="64">
        <v>3.3168E-4</v>
      </c>
      <c r="T58" s="64">
        <v>3.3168E-4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.75" customHeight="1" x14ac:dyDescent="0.3">
      <c r="A59" s="16" t="s">
        <v>52</v>
      </c>
      <c r="B59" s="64">
        <v>2.3999999999999998E-3</v>
      </c>
      <c r="C59" s="64">
        <v>1.1999999999999999E-3</v>
      </c>
      <c r="D59" s="64">
        <v>1.7999999999999999E-2</v>
      </c>
      <c r="E59" s="74">
        <v>-2.0000000000000001E-4</v>
      </c>
      <c r="F59" s="74">
        <v>-5.9999999999999995E-4</v>
      </c>
      <c r="G59" s="64">
        <v>-5.9369000000000002E-4</v>
      </c>
      <c r="H59" s="64">
        <v>3.6019300000000001E-3</v>
      </c>
      <c r="I59" s="64">
        <v>1.155667E-2</v>
      </c>
      <c r="J59" s="64">
        <v>5.1365899999999999E-3</v>
      </c>
      <c r="K59" s="64">
        <v>2.3217400000000001E-3</v>
      </c>
      <c r="L59" s="64">
        <v>2.8762800000000002E-3</v>
      </c>
      <c r="M59" s="64">
        <v>2.8762800000000002E-3</v>
      </c>
      <c r="N59" s="64">
        <v>3.6019300000000001E-3</v>
      </c>
      <c r="O59" s="64">
        <v>1.01081E-3</v>
      </c>
      <c r="P59" s="64">
        <v>9.8736000000000006E-4</v>
      </c>
      <c r="Q59" s="64">
        <v>1.03426E-3</v>
      </c>
      <c r="R59" s="64">
        <v>1.6284800000000001E-3</v>
      </c>
      <c r="S59" s="64">
        <v>1.8238499999999999E-3</v>
      </c>
      <c r="T59" s="64">
        <v>1.8238499999999999E-3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.75" customHeight="1" x14ac:dyDescent="0.3">
      <c r="A60" s="16" t="s">
        <v>67</v>
      </c>
      <c r="B60" s="74">
        <v>4.0000000000000003E-5</v>
      </c>
      <c r="C60" s="74">
        <v>-9.9999999999999995E-7</v>
      </c>
      <c r="D60" s="74">
        <v>3.0000000000000001E-5</v>
      </c>
      <c r="E60" s="74">
        <v>-9.9999999999999995E-7</v>
      </c>
      <c r="F60" s="74">
        <v>1.0000000000000001E-5</v>
      </c>
      <c r="G60" s="64">
        <v>1.3149999999999999E-5</v>
      </c>
      <c r="H60" s="64">
        <v>-8.0149999999999997E-5</v>
      </c>
      <c r="I60" s="64">
        <v>6.1550000000000005E-5</v>
      </c>
      <c r="J60" s="64">
        <v>3.0997000000000002E-4</v>
      </c>
      <c r="K60" s="64">
        <v>4.7199999999999997E-6</v>
      </c>
      <c r="L60" s="64">
        <v>2.092E-5</v>
      </c>
      <c r="M60" s="64">
        <v>2.092E-5</v>
      </c>
      <c r="N60" s="64">
        <v>-8.0149999999999997E-5</v>
      </c>
      <c r="O60" s="64">
        <v>-2.1780000000000002E-5</v>
      </c>
      <c r="P60" s="64">
        <v>-4.4539999999999997E-5</v>
      </c>
      <c r="Q60" s="64">
        <v>-2.1780000000000002E-5</v>
      </c>
      <c r="R60" s="64">
        <v>-1.5610000000000001E-5</v>
      </c>
      <c r="S60" s="64">
        <v>2.012E-5</v>
      </c>
      <c r="T60" s="64">
        <v>2.012E-5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75" customHeight="1" x14ac:dyDescent="0.3">
      <c r="A61" s="16" t="s">
        <v>54</v>
      </c>
      <c r="B61" s="74">
        <v>4.0000000000000003E-5</v>
      </c>
      <c r="C61" s="74">
        <v>-1.0000000000000001E-5</v>
      </c>
      <c r="D61" s="74">
        <v>-2.0000000000000001E-4</v>
      </c>
      <c r="E61" s="74">
        <v>-1.9999999999999999E-6</v>
      </c>
      <c r="F61" s="74">
        <v>-5.0000000000000004E-6</v>
      </c>
      <c r="G61" s="64">
        <v>-5.0799999999999996E-6</v>
      </c>
      <c r="H61" s="64">
        <v>-4.6149999999999997E-5</v>
      </c>
      <c r="I61" s="64">
        <v>-2.3119999999999999E-5</v>
      </c>
      <c r="J61" s="64">
        <v>2.3839999999999999E-5</v>
      </c>
      <c r="K61" s="64">
        <v>-1.225E-5</v>
      </c>
      <c r="L61" s="64">
        <v>8.2999999999999999E-7</v>
      </c>
      <c r="M61" s="64">
        <v>8.2999999999999999E-7</v>
      </c>
      <c r="N61" s="64">
        <v>-4.6149999999999997E-5</v>
      </c>
      <c r="O61" s="64">
        <v>-6.9500000000000004E-6</v>
      </c>
      <c r="P61" s="64">
        <v>-1.013E-5</v>
      </c>
      <c r="Q61" s="64">
        <v>-3.7799999999999998E-6</v>
      </c>
      <c r="R61" s="64">
        <v>1.428E-5</v>
      </c>
      <c r="S61" s="64">
        <v>1.5200000000000001E-6</v>
      </c>
      <c r="T61" s="64">
        <v>1.5200000000000001E-6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75" customHeight="1" x14ac:dyDescent="0.3">
      <c r="A62" s="16" t="s">
        <v>55</v>
      </c>
      <c r="B62" s="74">
        <v>4.0000000000000003E-5</v>
      </c>
      <c r="C62" s="74">
        <v>1.0000000000000001E-5</v>
      </c>
      <c r="D62" s="64">
        <v>2.9999999999999997E-4</v>
      </c>
      <c r="E62" s="74">
        <v>-9.9999999999999995E-7</v>
      </c>
      <c r="F62" s="74">
        <v>3.0000000000000001E-5</v>
      </c>
      <c r="G62" s="64">
        <v>3.1380000000000001E-5</v>
      </c>
      <c r="H62" s="64">
        <v>-1.1415E-4</v>
      </c>
      <c r="I62" s="64">
        <v>1.4622999999999999E-4</v>
      </c>
      <c r="J62" s="64">
        <v>5.9610999999999996E-4</v>
      </c>
      <c r="K62" s="64">
        <v>2.1679999999999999E-5</v>
      </c>
      <c r="L62" s="64">
        <v>4.1010000000000002E-5</v>
      </c>
      <c r="M62" s="64">
        <v>4.1010000000000002E-5</v>
      </c>
      <c r="N62" s="64">
        <v>-1.1415E-4</v>
      </c>
      <c r="O62" s="64">
        <v>-5.9370000000000002E-5</v>
      </c>
      <c r="P62" s="64">
        <v>-7.8960000000000003E-5</v>
      </c>
      <c r="Q62" s="64">
        <v>-3.9780000000000002E-5</v>
      </c>
      <c r="R62" s="64">
        <v>-4.5510000000000003E-5</v>
      </c>
      <c r="S62" s="64">
        <v>3.8720000000000002E-5</v>
      </c>
      <c r="T62" s="64">
        <v>3.8720000000000002E-5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75" customHeight="1" x14ac:dyDescent="0.3">
      <c r="A63" s="16" t="s">
        <v>56</v>
      </c>
      <c r="B63" s="74">
        <v>-1E-4</v>
      </c>
      <c r="C63" s="74">
        <v>-1.0000000000000001E-5</v>
      </c>
      <c r="D63" s="74">
        <v>-2.0000000000000001E-4</v>
      </c>
      <c r="E63" s="74">
        <v>-9.0000000000000002E-6</v>
      </c>
      <c r="F63" s="74">
        <v>-3.0000000000000001E-6</v>
      </c>
      <c r="G63" s="64">
        <v>-3.2600000000000001E-6</v>
      </c>
      <c r="H63" s="64">
        <v>-6.2929999999999995E-5</v>
      </c>
      <c r="I63" s="64">
        <v>-2.4090000000000001E-5</v>
      </c>
      <c r="J63" s="64">
        <v>-6.7050000000000003E-5</v>
      </c>
      <c r="K63" s="64">
        <v>-6.3999999999999997E-6</v>
      </c>
      <c r="L63" s="64">
        <v>-1.5860000000000001E-5</v>
      </c>
      <c r="M63" s="64">
        <v>-1.5860000000000001E-5</v>
      </c>
      <c r="N63" s="64">
        <v>-6.2929999999999995E-5</v>
      </c>
      <c r="O63" s="64">
        <v>-6.5200000000000003E-6</v>
      </c>
      <c r="P63" s="64">
        <v>-1.3210000000000001E-5</v>
      </c>
      <c r="Q63" s="64">
        <v>1.6999999999999999E-7</v>
      </c>
      <c r="R63" s="64">
        <v>8.3923000000000005E-4</v>
      </c>
      <c r="S63" s="64">
        <v>-2.548E-5</v>
      </c>
      <c r="T63" s="64">
        <v>-2.548E-5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.75" customHeight="1" x14ac:dyDescent="0.3">
      <c r="A64" s="16" t="s">
        <v>57</v>
      </c>
      <c r="B64" s="64">
        <v>4.0000000000000002E-4</v>
      </c>
      <c r="C64" s="74">
        <v>9.0000000000000002E-6</v>
      </c>
      <c r="D64" s="64">
        <v>8.9999999999999998E-4</v>
      </c>
      <c r="E64" s="74">
        <v>-1E-4</v>
      </c>
      <c r="F64" s="64">
        <v>1E-4</v>
      </c>
      <c r="G64" s="64">
        <v>1.0404999999999999E-4</v>
      </c>
      <c r="H64" s="64">
        <v>-2.7241E-4</v>
      </c>
      <c r="I64" s="64">
        <v>4.6789999999999999E-4</v>
      </c>
      <c r="J64" s="64">
        <v>1.8421999999999999E-4</v>
      </c>
      <c r="K64" s="64">
        <v>1.5618000000000001E-4</v>
      </c>
      <c r="L64" s="64">
        <v>3.3689999999999998E-5</v>
      </c>
      <c r="M64" s="64">
        <v>3.3689999999999998E-5</v>
      </c>
      <c r="N64" s="64">
        <v>-2.7241E-4</v>
      </c>
      <c r="O64" s="64">
        <v>-1.9851E-4</v>
      </c>
      <c r="P64" s="64">
        <v>-2.6300999999999999E-4</v>
      </c>
      <c r="Q64" s="64">
        <v>-1.3401999999999999E-4</v>
      </c>
      <c r="R64" s="64">
        <v>-9.4489999999999998E-5</v>
      </c>
      <c r="S64" s="64">
        <v>-1.8939E-4</v>
      </c>
      <c r="T64" s="64">
        <v>-1.8939E-4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75" customHeight="1" x14ac:dyDescent="0.3">
      <c r="A65" s="16" t="s">
        <v>68</v>
      </c>
      <c r="B65" s="64">
        <v>4.0000000000000002E-4</v>
      </c>
      <c r="C65" s="74">
        <v>9.0000000000000002E-6</v>
      </c>
      <c r="D65" s="64">
        <v>8.9999999999999998E-4</v>
      </c>
      <c r="E65" s="74">
        <v>-1E-4</v>
      </c>
      <c r="F65" s="64">
        <v>1E-4</v>
      </c>
      <c r="G65" s="64">
        <v>1.0404999999999999E-4</v>
      </c>
      <c r="H65" s="64">
        <v>-2.7241E-4</v>
      </c>
      <c r="I65" s="64">
        <v>4.6789999999999999E-4</v>
      </c>
      <c r="J65" s="64">
        <v>1.8421999999999999E-4</v>
      </c>
      <c r="K65" s="64">
        <v>1.5618000000000001E-4</v>
      </c>
      <c r="L65" s="64">
        <v>3.3689999999999998E-5</v>
      </c>
      <c r="M65" s="64">
        <v>3.3689999999999998E-5</v>
      </c>
      <c r="N65" s="64">
        <v>-2.7241E-4</v>
      </c>
      <c r="O65" s="64">
        <v>-1.9851E-4</v>
      </c>
      <c r="P65" s="64">
        <v>-2.6300999999999999E-4</v>
      </c>
      <c r="Q65" s="64">
        <v>-1.3401999999999999E-4</v>
      </c>
      <c r="R65" s="64">
        <v>-9.4489999999999998E-5</v>
      </c>
      <c r="S65" s="64">
        <v>-1.8939E-4</v>
      </c>
      <c r="T65" s="64">
        <v>-1.8939E-4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75" customHeight="1" x14ac:dyDescent="0.25"/>
    <row r="67" spans="1:40" ht="15.75" customHeight="1" x14ac:dyDescent="0.25"/>
    <row r="68" spans="1:40" ht="15.75" customHeight="1" x14ac:dyDescent="0.3">
      <c r="A68" s="28" t="s">
        <v>218</v>
      </c>
      <c r="B68" s="16" t="s">
        <v>41</v>
      </c>
      <c r="C68" s="16" t="s">
        <v>42</v>
      </c>
      <c r="D68" s="16" t="s">
        <v>43</v>
      </c>
      <c r="E68" s="16" t="s">
        <v>66</v>
      </c>
      <c r="F68" s="16" t="s">
        <v>44</v>
      </c>
      <c r="G68" s="16" t="s">
        <v>45</v>
      </c>
      <c r="H68" s="16" t="s">
        <v>46</v>
      </c>
      <c r="I68" s="16" t="s">
        <v>47</v>
      </c>
      <c r="J68" s="16" t="s">
        <v>48</v>
      </c>
      <c r="K68" s="16" t="s">
        <v>49</v>
      </c>
      <c r="L68" s="16" t="s">
        <v>50</v>
      </c>
      <c r="M68" s="16" t="s">
        <v>51</v>
      </c>
      <c r="N68" s="16" t="s">
        <v>52</v>
      </c>
      <c r="O68" s="16" t="s">
        <v>67</v>
      </c>
      <c r="P68" s="16" t="s">
        <v>54</v>
      </c>
      <c r="Q68" s="16" t="s">
        <v>55</v>
      </c>
      <c r="R68" s="16" t="s">
        <v>56</v>
      </c>
      <c r="S68" s="16" t="s">
        <v>57</v>
      </c>
      <c r="T68" s="16" t="s">
        <v>68</v>
      </c>
    </row>
    <row r="69" spans="1:40" ht="15.75" customHeight="1" x14ac:dyDescent="0.3">
      <c r="A69" s="16" t="s">
        <v>41</v>
      </c>
      <c r="B69" s="64">
        <v>1.3899999999999999E-2</v>
      </c>
      <c r="C69" s="64">
        <v>1E-4</v>
      </c>
      <c r="D69" s="64">
        <v>4.4999999999999997E-3</v>
      </c>
      <c r="E69" s="64">
        <v>4.0000000000000002E-4</v>
      </c>
      <c r="F69" s="64">
        <v>1E-4</v>
      </c>
      <c r="G69" s="64">
        <v>1.0406E-4</v>
      </c>
      <c r="H69" s="64">
        <v>3.0643000000000001E-4</v>
      </c>
      <c r="I69" s="64">
        <v>1.30237E-3</v>
      </c>
      <c r="J69" s="64">
        <v>5.3643199999999997E-3</v>
      </c>
      <c r="K69" s="64">
        <v>4.6782999999999998E-3</v>
      </c>
      <c r="L69" s="64">
        <v>3.6369999999999999E-5</v>
      </c>
      <c r="M69" s="64">
        <v>3.6369999999999999E-5</v>
      </c>
      <c r="N69" s="64">
        <v>3.0643000000000001E-4</v>
      </c>
      <c r="O69" s="64">
        <v>1.0245E-4</v>
      </c>
      <c r="P69" s="64">
        <v>6.0590000000000001E-5</v>
      </c>
      <c r="Q69" s="64">
        <v>1.0245E-4</v>
      </c>
      <c r="R69" s="64">
        <v>5.6882000000000005E-4</v>
      </c>
      <c r="S69" s="64">
        <v>2.0387000000000001E-4</v>
      </c>
      <c r="T69" s="64">
        <v>2.0387000000000001E-4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75" customHeight="1" x14ac:dyDescent="0.3">
      <c r="A70" s="16" t="s">
        <v>42</v>
      </c>
      <c r="B70" s="64">
        <v>1E-4</v>
      </c>
      <c r="C70" s="64">
        <v>3.7000000000000002E-3</v>
      </c>
      <c r="D70" s="64">
        <v>6.1999999999999998E-3</v>
      </c>
      <c r="E70" s="64">
        <v>0.11990000000000001</v>
      </c>
      <c r="F70" s="64">
        <v>2.93E-2</v>
      </c>
      <c r="G70" s="64">
        <v>2.9330200000000001E-2</v>
      </c>
      <c r="H70" s="64">
        <v>7.2185000000000001E-4</v>
      </c>
      <c r="I70" s="64">
        <v>5.6256999999999998E-4</v>
      </c>
      <c r="J70" s="64">
        <v>4.3249E-4</v>
      </c>
      <c r="K70" s="64">
        <v>4.8489999999999998E-5</v>
      </c>
      <c r="L70" s="64">
        <v>3.7089999999999999E-5</v>
      </c>
      <c r="M70" s="64">
        <v>3.7089999999999999E-5</v>
      </c>
      <c r="N70" s="64">
        <v>7.2185000000000001E-4</v>
      </c>
      <c r="O70" s="64">
        <v>2.1229999999999998E-5</v>
      </c>
      <c r="P70" s="64">
        <v>6.3189999999999996E-5</v>
      </c>
      <c r="Q70" s="64">
        <v>2.1229999999999998E-5</v>
      </c>
      <c r="R70" s="64">
        <v>4.1600000000000002E-5</v>
      </c>
      <c r="S70" s="64">
        <v>1.2222000000000001E-4</v>
      </c>
      <c r="T70" s="64">
        <v>1.2222000000000001E-4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75" customHeight="1" x14ac:dyDescent="0.3">
      <c r="A71" s="16" t="s">
        <v>43</v>
      </c>
      <c r="B71" s="64">
        <v>6.1000000000000004E-3</v>
      </c>
      <c r="C71" s="64">
        <v>9.1999999999999998E-3</v>
      </c>
      <c r="D71" s="64">
        <v>0.12520000000000001</v>
      </c>
      <c r="E71" s="64">
        <v>1.4999999999999999E-2</v>
      </c>
      <c r="F71" s="64">
        <v>9.4999999999999998E-3</v>
      </c>
      <c r="G71" s="64">
        <v>9.5217500000000007E-3</v>
      </c>
      <c r="H71" s="64">
        <v>1.2245519999999999E-2</v>
      </c>
      <c r="I71" s="64">
        <v>1.59474E-2</v>
      </c>
      <c r="J71" s="64">
        <v>2.6488169999999998E-2</v>
      </c>
      <c r="K71" s="64">
        <v>1.6565600000000001E-3</v>
      </c>
      <c r="L71" s="64">
        <v>1.0740599999999999E-3</v>
      </c>
      <c r="M71" s="64">
        <v>1.0740599999999999E-3</v>
      </c>
      <c r="N71" s="64">
        <v>1.2245519999999999E-2</v>
      </c>
      <c r="O71" s="64">
        <v>8.0774999999999998E-4</v>
      </c>
      <c r="P71" s="64">
        <v>2.89552E-3</v>
      </c>
      <c r="Q71" s="64">
        <v>8.0774999999999998E-4</v>
      </c>
      <c r="R71" s="64">
        <v>4.4166199999999996E-3</v>
      </c>
      <c r="S71" s="64">
        <v>4.4668399999999997E-3</v>
      </c>
      <c r="T71" s="64">
        <v>4.4668399999999997E-3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75" customHeight="1" x14ac:dyDescent="0.3">
      <c r="A72" s="16" t="s">
        <v>66</v>
      </c>
      <c r="B72" s="64">
        <v>2.7000000000000001E-3</v>
      </c>
      <c r="C72" s="64">
        <v>1.9E-3</v>
      </c>
      <c r="D72" s="64">
        <v>8.6999999999999994E-3</v>
      </c>
      <c r="E72" s="64">
        <v>1.09E-2</v>
      </c>
      <c r="F72" s="64">
        <v>6.1000000000000004E-3</v>
      </c>
      <c r="G72" s="64">
        <v>6.0734700000000001E-3</v>
      </c>
      <c r="H72" s="64">
        <v>1.8795400000000001E-3</v>
      </c>
      <c r="I72" s="64">
        <v>4.3436999999999998E-3</v>
      </c>
      <c r="J72" s="64">
        <v>2.0944330000000001E-2</v>
      </c>
      <c r="K72" s="64">
        <v>6.3663999999999995E-4</v>
      </c>
      <c r="L72" s="64">
        <v>3.1471E-4</v>
      </c>
      <c r="M72" s="64">
        <v>3.1471E-4</v>
      </c>
      <c r="N72" s="64">
        <v>1.8795400000000001E-3</v>
      </c>
      <c r="O72" s="64">
        <v>2.2665000000000001E-4</v>
      </c>
      <c r="P72" s="64">
        <v>6.1992999999999998E-4</v>
      </c>
      <c r="Q72" s="64">
        <v>2.2665000000000001E-4</v>
      </c>
      <c r="R72" s="64">
        <v>4.3297000000000002E-4</v>
      </c>
      <c r="S72" s="64">
        <v>8.0006999999999995E-4</v>
      </c>
      <c r="T72" s="64">
        <v>8.0006999999999995E-4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75" customHeight="1" x14ac:dyDescent="0.3">
      <c r="A73" s="16" t="s">
        <v>44</v>
      </c>
      <c r="B73" s="64">
        <v>3.3E-3</v>
      </c>
      <c r="C73" s="64">
        <v>2.3999999999999998E-3</v>
      </c>
      <c r="D73" s="64">
        <v>1.5699999999999999E-2</v>
      </c>
      <c r="E73" s="64">
        <v>2.5000000000000001E-3</v>
      </c>
      <c r="F73" s="64">
        <v>1.5800000000000002E-2</v>
      </c>
      <c r="G73" s="64">
        <v>1.577537E-2</v>
      </c>
      <c r="H73" s="64">
        <v>1.21024E-3</v>
      </c>
      <c r="I73" s="64">
        <v>2.2838300000000001E-3</v>
      </c>
      <c r="J73" s="64">
        <v>3.0789200000000002E-3</v>
      </c>
      <c r="K73" s="64">
        <v>1.6919299999999999E-3</v>
      </c>
      <c r="L73" s="64">
        <v>3.5582000000000002E-4</v>
      </c>
      <c r="M73" s="64">
        <v>3.5582000000000002E-4</v>
      </c>
      <c r="N73" s="64">
        <v>1.21024E-3</v>
      </c>
      <c r="O73" s="64">
        <v>8.8865999999999999E-4</v>
      </c>
      <c r="P73" s="64">
        <v>1.64891E-3</v>
      </c>
      <c r="Q73" s="64">
        <v>8.8865999999999999E-4</v>
      </c>
      <c r="R73" s="64">
        <v>9.3046999999999997E-4</v>
      </c>
      <c r="S73" s="64">
        <v>7.6174999999999995E-4</v>
      </c>
      <c r="T73" s="64">
        <v>7.6174999999999995E-4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75" customHeight="1" x14ac:dyDescent="0.3">
      <c r="A74" s="16" t="s">
        <v>45</v>
      </c>
      <c r="B74" s="64">
        <v>3.3E-3</v>
      </c>
      <c r="C74" s="64">
        <v>2.3999999999999998E-3</v>
      </c>
      <c r="D74" s="64">
        <v>1.5699999999999999E-2</v>
      </c>
      <c r="E74" s="64">
        <v>2.5000000000000001E-3</v>
      </c>
      <c r="F74" s="64">
        <v>1.5800000000000002E-2</v>
      </c>
      <c r="G74" s="64">
        <v>1.577537E-2</v>
      </c>
      <c r="H74" s="64">
        <v>1.21024E-3</v>
      </c>
      <c r="I74" s="64">
        <v>2.2838300000000001E-3</v>
      </c>
      <c r="J74" s="64">
        <v>3.0789200000000002E-3</v>
      </c>
      <c r="K74" s="64">
        <v>1.6919299999999999E-3</v>
      </c>
      <c r="L74" s="64">
        <v>3.5582000000000002E-4</v>
      </c>
      <c r="M74" s="64">
        <v>3.5582000000000002E-4</v>
      </c>
      <c r="N74" s="64">
        <v>1.21024E-3</v>
      </c>
      <c r="O74" s="64">
        <v>8.8865999999999999E-4</v>
      </c>
      <c r="P74" s="64">
        <v>1.64891E-3</v>
      </c>
      <c r="Q74" s="64">
        <v>8.8865999999999999E-4</v>
      </c>
      <c r="R74" s="64">
        <v>9.3046999999999997E-4</v>
      </c>
      <c r="S74" s="64">
        <v>7.6174999999999995E-4</v>
      </c>
      <c r="T74" s="64">
        <v>7.6174999999999995E-4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75" customHeight="1" x14ac:dyDescent="0.3">
      <c r="A75" s="16" t="s">
        <v>46</v>
      </c>
      <c r="B75" s="64">
        <v>2.3E-3</v>
      </c>
      <c r="C75" s="64">
        <v>4.4000000000000003E-3</v>
      </c>
      <c r="D75" s="64">
        <v>1.7600000000000001E-2</v>
      </c>
      <c r="E75" s="64">
        <v>5.4000000000000003E-3</v>
      </c>
      <c r="F75" s="64">
        <v>9.2999999999999992E-3</v>
      </c>
      <c r="G75" s="64">
        <v>9.2933300000000007E-3</v>
      </c>
      <c r="H75" s="64">
        <v>5.3582600000000001E-3</v>
      </c>
      <c r="I75" s="64">
        <v>1.254569E-2</v>
      </c>
      <c r="J75" s="64">
        <v>1.484215E-2</v>
      </c>
      <c r="K75" s="64">
        <v>3.9012299999999999E-3</v>
      </c>
      <c r="L75" s="64">
        <v>6.4721300000000004E-3</v>
      </c>
      <c r="M75" s="64">
        <v>6.4721300000000004E-3</v>
      </c>
      <c r="N75" s="64">
        <v>5.3582600000000001E-3</v>
      </c>
      <c r="O75" s="64">
        <v>1.0713500000000001E-2</v>
      </c>
      <c r="P75" s="64">
        <v>4.6096599999999998E-3</v>
      </c>
      <c r="Q75" s="64">
        <v>1.0713500000000001E-2</v>
      </c>
      <c r="R75" s="64">
        <v>3.0206500000000002E-3</v>
      </c>
      <c r="S75" s="64">
        <v>8.0603099999999994E-3</v>
      </c>
      <c r="T75" s="64">
        <v>8.0603099999999994E-3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75" customHeight="1" x14ac:dyDescent="0.3">
      <c r="A76" s="16" t="s">
        <v>47</v>
      </c>
      <c r="B76" s="64">
        <v>7.1000000000000004E-3</v>
      </c>
      <c r="C76" s="64">
        <v>3.3E-3</v>
      </c>
      <c r="D76" s="64">
        <v>3.7699999999999997E-2</v>
      </c>
      <c r="E76" s="64">
        <v>1.6E-2</v>
      </c>
      <c r="F76" s="64">
        <v>3.5000000000000001E-3</v>
      </c>
      <c r="G76" s="64">
        <v>3.51206E-3</v>
      </c>
      <c r="H76" s="64">
        <v>2.4584400000000001E-3</v>
      </c>
      <c r="I76" s="64">
        <v>6.3767099999999998E-3</v>
      </c>
      <c r="J76" s="64">
        <v>1.4730119999999999E-2</v>
      </c>
      <c r="K76" s="64">
        <v>2.3109099999999998E-3</v>
      </c>
      <c r="L76" s="64">
        <v>1.1029099999999999E-3</v>
      </c>
      <c r="M76" s="64">
        <v>1.1029099999999999E-3</v>
      </c>
      <c r="N76" s="64">
        <v>2.4584400000000001E-3</v>
      </c>
      <c r="O76" s="64">
        <v>4.1754999999999998E-4</v>
      </c>
      <c r="P76" s="64">
        <v>1.2168400000000001E-3</v>
      </c>
      <c r="Q76" s="64">
        <v>4.1754999999999998E-4</v>
      </c>
      <c r="R76" s="64">
        <v>1.2769000000000001E-3</v>
      </c>
      <c r="S76" s="64">
        <v>2.6443700000000001E-3</v>
      </c>
      <c r="T76" s="64">
        <v>2.6443700000000001E-3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75" customHeight="1" x14ac:dyDescent="0.3">
      <c r="A77" s="16" t="s">
        <v>48</v>
      </c>
      <c r="B77" s="64">
        <v>2.5000000000000001E-3</v>
      </c>
      <c r="C77" s="64">
        <v>2.7000000000000001E-3</v>
      </c>
      <c r="D77" s="64">
        <v>1.26E-2</v>
      </c>
      <c r="E77" s="64">
        <v>2.1600000000000001E-2</v>
      </c>
      <c r="F77" s="64">
        <v>3.8999999999999998E-3</v>
      </c>
      <c r="G77" s="64">
        <v>3.8938699999999998E-3</v>
      </c>
      <c r="H77" s="64">
        <v>4.98629E-3</v>
      </c>
      <c r="I77" s="64">
        <v>9.7661099999999997E-3</v>
      </c>
      <c r="J77" s="64">
        <v>3.4338399999999998E-2</v>
      </c>
      <c r="K77" s="64">
        <v>1.19173E-3</v>
      </c>
      <c r="L77" s="64">
        <v>2.8053599999999998E-3</v>
      </c>
      <c r="M77" s="64">
        <v>2.8053599999999998E-3</v>
      </c>
      <c r="N77" s="64">
        <v>4.98629E-3</v>
      </c>
      <c r="O77" s="64">
        <v>9.4295000000000002E-4</v>
      </c>
      <c r="P77" s="64">
        <v>5.0022199999999999E-3</v>
      </c>
      <c r="Q77" s="64">
        <v>9.4295000000000002E-4</v>
      </c>
      <c r="R77" s="64">
        <v>8.1484000000000005E-4</v>
      </c>
      <c r="S77" s="64">
        <v>3.77276E-3</v>
      </c>
      <c r="T77" s="64">
        <v>3.77276E-3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.75" customHeight="1" x14ac:dyDescent="0.3">
      <c r="A78" s="16" t="s">
        <v>49</v>
      </c>
      <c r="B78" s="64">
        <v>5.0000000000000001E-4</v>
      </c>
      <c r="C78" s="64">
        <v>4.0000000000000002E-4</v>
      </c>
      <c r="D78" s="64">
        <v>4.0000000000000001E-3</v>
      </c>
      <c r="E78" s="64">
        <v>1E-3</v>
      </c>
      <c r="F78" s="64">
        <v>8.0000000000000004E-4</v>
      </c>
      <c r="G78" s="64">
        <v>7.7234000000000005E-4</v>
      </c>
      <c r="H78" s="64">
        <v>1.07829E-3</v>
      </c>
      <c r="I78" s="64">
        <v>1.6398000000000001E-3</v>
      </c>
      <c r="J78" s="64">
        <v>3.7075599999999999E-3</v>
      </c>
      <c r="K78" s="64">
        <v>8.0309000000000001E-4</v>
      </c>
      <c r="L78" s="64">
        <v>3.6322999999999998E-4</v>
      </c>
      <c r="M78" s="64">
        <v>3.6322999999999998E-4</v>
      </c>
      <c r="N78" s="64">
        <v>1.07829E-3</v>
      </c>
      <c r="O78" s="64">
        <v>2.9698599999999999E-3</v>
      </c>
      <c r="P78" s="64">
        <v>3.0190000000000002E-4</v>
      </c>
      <c r="Q78" s="64">
        <v>2.9698599999999999E-3</v>
      </c>
      <c r="R78" s="64">
        <v>5.4597999999999995E-4</v>
      </c>
      <c r="S78" s="64">
        <v>9.1533000000000001E-4</v>
      </c>
      <c r="T78" s="64">
        <v>9.1533000000000001E-4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.75" customHeight="1" x14ac:dyDescent="0.3">
      <c r="A79" s="16" t="s">
        <v>50</v>
      </c>
      <c r="B79" s="64">
        <v>1.5E-3</v>
      </c>
      <c r="C79" s="64">
        <v>8.9999999999999998E-4</v>
      </c>
      <c r="D79" s="64">
        <v>8.0999999999999996E-3</v>
      </c>
      <c r="E79" s="64">
        <v>3.3E-3</v>
      </c>
      <c r="F79" s="64">
        <v>2E-3</v>
      </c>
      <c r="G79" s="64">
        <v>1.95042E-3</v>
      </c>
      <c r="H79" s="64">
        <v>3.8550099999999999E-3</v>
      </c>
      <c r="I79" s="64">
        <v>4.0123600000000004E-3</v>
      </c>
      <c r="J79" s="64">
        <v>4.3391100000000002E-3</v>
      </c>
      <c r="K79" s="64">
        <v>6.8334000000000005E-4</v>
      </c>
      <c r="L79" s="64">
        <v>1.0247269999999999E-2</v>
      </c>
      <c r="M79" s="64">
        <v>1.0247269999999999E-2</v>
      </c>
      <c r="N79" s="64">
        <v>3.8550099999999999E-3</v>
      </c>
      <c r="O79" s="64">
        <v>4.1999300000000002E-3</v>
      </c>
      <c r="P79" s="64">
        <v>6.2889900000000004E-3</v>
      </c>
      <c r="Q79" s="64">
        <v>4.1999300000000002E-3</v>
      </c>
      <c r="R79" s="64">
        <v>5.1993000000000004E-4</v>
      </c>
      <c r="S79" s="64">
        <v>8.3317999999999999E-4</v>
      </c>
      <c r="T79" s="64">
        <v>8.3317999999999999E-4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.75" customHeight="1" x14ac:dyDescent="0.3">
      <c r="A80" s="16" t="s">
        <v>51</v>
      </c>
      <c r="B80" s="64">
        <v>1.5E-3</v>
      </c>
      <c r="C80" s="64">
        <v>8.9999999999999998E-4</v>
      </c>
      <c r="D80" s="64">
        <v>8.0999999999999996E-3</v>
      </c>
      <c r="E80" s="64">
        <v>3.3E-3</v>
      </c>
      <c r="F80" s="64">
        <v>2E-3</v>
      </c>
      <c r="G80" s="64">
        <v>1.95042E-3</v>
      </c>
      <c r="H80" s="64">
        <v>3.8550099999999999E-3</v>
      </c>
      <c r="I80" s="64">
        <v>4.0123600000000004E-3</v>
      </c>
      <c r="J80" s="64">
        <v>4.3391100000000002E-3</v>
      </c>
      <c r="K80" s="64">
        <v>6.8334000000000005E-4</v>
      </c>
      <c r="L80" s="64">
        <v>1.0247269999999999E-2</v>
      </c>
      <c r="M80" s="64">
        <v>1.0247269999999999E-2</v>
      </c>
      <c r="N80" s="64">
        <v>3.8550099999999999E-3</v>
      </c>
      <c r="O80" s="64">
        <v>4.1999300000000002E-3</v>
      </c>
      <c r="P80" s="64">
        <v>6.2889900000000004E-3</v>
      </c>
      <c r="Q80" s="64">
        <v>4.1999300000000002E-3</v>
      </c>
      <c r="R80" s="64">
        <v>5.1993000000000004E-4</v>
      </c>
      <c r="S80" s="64">
        <v>8.3317999999999999E-4</v>
      </c>
      <c r="T80" s="64">
        <v>8.3317999999999999E-4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.75" customHeight="1" x14ac:dyDescent="0.3">
      <c r="A81" s="16" t="s">
        <v>52</v>
      </c>
      <c r="B81" s="64">
        <v>2.3E-3</v>
      </c>
      <c r="C81" s="64">
        <v>4.4000000000000003E-3</v>
      </c>
      <c r="D81" s="64">
        <v>1.7600000000000001E-2</v>
      </c>
      <c r="E81" s="64">
        <v>5.4000000000000003E-3</v>
      </c>
      <c r="F81" s="64">
        <v>9.2999999999999992E-3</v>
      </c>
      <c r="G81" s="64">
        <v>9.2933300000000007E-3</v>
      </c>
      <c r="H81" s="64">
        <v>5.3582600000000001E-3</v>
      </c>
      <c r="I81" s="64">
        <v>1.254569E-2</v>
      </c>
      <c r="J81" s="64">
        <v>1.484215E-2</v>
      </c>
      <c r="K81" s="64">
        <v>3.9012299999999999E-3</v>
      </c>
      <c r="L81" s="64">
        <v>6.4721300000000004E-3</v>
      </c>
      <c r="M81" s="64">
        <v>6.4721300000000004E-3</v>
      </c>
      <c r="N81" s="64">
        <v>5.3582600000000001E-3</v>
      </c>
      <c r="O81" s="64">
        <v>1.0713500000000001E-2</v>
      </c>
      <c r="P81" s="64">
        <v>4.6096599999999998E-3</v>
      </c>
      <c r="Q81" s="64">
        <v>1.0713500000000001E-2</v>
      </c>
      <c r="R81" s="64">
        <v>3.0206500000000002E-3</v>
      </c>
      <c r="S81" s="64">
        <v>8.0603099999999994E-3</v>
      </c>
      <c r="T81" s="64">
        <v>8.0603099999999994E-3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.75" customHeight="1" x14ac:dyDescent="0.3">
      <c r="A82" s="16" t="s">
        <v>67</v>
      </c>
      <c r="B82" s="64">
        <v>1E-4</v>
      </c>
      <c r="C82" s="74">
        <v>8.0000000000000007E-5</v>
      </c>
      <c r="D82" s="64">
        <v>1.1999999999999999E-3</v>
      </c>
      <c r="E82" s="74">
        <v>6.0000000000000002E-5</v>
      </c>
      <c r="F82" s="64">
        <v>2.0000000000000001E-4</v>
      </c>
      <c r="G82" s="64">
        <v>2.2013999999999999E-4</v>
      </c>
      <c r="H82" s="64">
        <v>9.5094999999999999E-4</v>
      </c>
      <c r="I82" s="64">
        <v>6.6091000000000001E-4</v>
      </c>
      <c r="J82" s="64">
        <v>4.1553900000000001E-3</v>
      </c>
      <c r="K82" s="64">
        <v>9.1619999999999994E-5</v>
      </c>
      <c r="L82" s="64">
        <v>1.695E-4</v>
      </c>
      <c r="M82" s="64">
        <v>1.695E-4</v>
      </c>
      <c r="N82" s="64">
        <v>9.5094999999999999E-4</v>
      </c>
      <c r="O82" s="64">
        <v>2.16606E-3</v>
      </c>
      <c r="P82" s="64">
        <v>5.1805000000000004E-4</v>
      </c>
      <c r="Q82" s="64">
        <v>2.16606E-3</v>
      </c>
      <c r="R82" s="64">
        <v>2.1450000000000001E-4</v>
      </c>
      <c r="S82" s="64">
        <v>1.9043E-4</v>
      </c>
      <c r="T82" s="64">
        <v>1.9043E-4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.75" customHeight="1" x14ac:dyDescent="0.3">
      <c r="A83" s="16" t="s">
        <v>54</v>
      </c>
      <c r="B83" s="64">
        <v>1E-4</v>
      </c>
      <c r="C83" s="74">
        <v>5.0000000000000002E-5</v>
      </c>
      <c r="D83" s="64">
        <v>8.9999999999999998E-4</v>
      </c>
      <c r="E83" s="64">
        <v>2.0000000000000001E-4</v>
      </c>
      <c r="F83" s="74">
        <v>6.0000000000000002E-5</v>
      </c>
      <c r="G83" s="64">
        <v>6.0529999999999998E-5</v>
      </c>
      <c r="H83" s="64">
        <v>1.5265999999999999E-4</v>
      </c>
      <c r="I83" s="64">
        <v>1.7100000000000001E-4</v>
      </c>
      <c r="J83" s="64">
        <v>3.8780999999999999E-4</v>
      </c>
      <c r="K83" s="64">
        <v>3.7750000000000003E-5</v>
      </c>
      <c r="L83" s="64">
        <v>2.7160000000000001E-5</v>
      </c>
      <c r="M83" s="64">
        <v>2.7160000000000001E-5</v>
      </c>
      <c r="N83" s="64">
        <v>1.5265999999999999E-4</v>
      </c>
      <c r="O83" s="64">
        <v>1.485E-5</v>
      </c>
      <c r="P83" s="64">
        <v>2.745E-5</v>
      </c>
      <c r="Q83" s="64">
        <v>1.485E-5</v>
      </c>
      <c r="R83" s="64">
        <v>5.3650000000000003E-5</v>
      </c>
      <c r="S83" s="64">
        <v>7.5069999999999998E-5</v>
      </c>
      <c r="T83" s="64">
        <v>7.5069999999999998E-5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.75" customHeight="1" x14ac:dyDescent="0.3">
      <c r="A84" s="16" t="s">
        <v>55</v>
      </c>
      <c r="B84" s="64">
        <v>1E-4</v>
      </c>
      <c r="C84" s="74">
        <v>8.0000000000000007E-5</v>
      </c>
      <c r="D84" s="64">
        <v>1.1999999999999999E-3</v>
      </c>
      <c r="E84" s="74">
        <v>6.0000000000000002E-5</v>
      </c>
      <c r="F84" s="64">
        <v>2.0000000000000001E-4</v>
      </c>
      <c r="G84" s="64">
        <v>2.2013999999999999E-4</v>
      </c>
      <c r="H84" s="64">
        <v>9.5094999999999999E-4</v>
      </c>
      <c r="I84" s="64">
        <v>6.6091000000000001E-4</v>
      </c>
      <c r="J84" s="64">
        <v>4.1553900000000001E-3</v>
      </c>
      <c r="K84" s="64">
        <v>9.1619999999999994E-5</v>
      </c>
      <c r="L84" s="64">
        <v>1.695E-4</v>
      </c>
      <c r="M84" s="64">
        <v>1.695E-4</v>
      </c>
      <c r="N84" s="64">
        <v>9.5094999999999999E-4</v>
      </c>
      <c r="O84" s="64">
        <v>2.16606E-3</v>
      </c>
      <c r="P84" s="64">
        <v>5.1805000000000004E-4</v>
      </c>
      <c r="Q84" s="64">
        <v>2.16606E-3</v>
      </c>
      <c r="R84" s="64">
        <v>2.1450000000000001E-4</v>
      </c>
      <c r="S84" s="64">
        <v>1.9043E-4</v>
      </c>
      <c r="T84" s="64">
        <v>1.9043E-4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.75" customHeight="1" x14ac:dyDescent="0.3">
      <c r="A85" s="16" t="s">
        <v>56</v>
      </c>
      <c r="B85" s="64">
        <v>4.0000000000000002E-4</v>
      </c>
      <c r="C85" s="64">
        <v>2.0000000000000001E-4</v>
      </c>
      <c r="D85" s="64">
        <v>1.5E-3</v>
      </c>
      <c r="E85" s="74">
        <v>9.0000000000000006E-5</v>
      </c>
      <c r="F85" s="74">
        <v>5.0000000000000002E-5</v>
      </c>
      <c r="G85" s="64">
        <v>5.486E-5</v>
      </c>
      <c r="H85" s="64">
        <v>4.3808999999999997E-4</v>
      </c>
      <c r="I85" s="64">
        <v>3.9906000000000002E-4</v>
      </c>
      <c r="J85" s="64">
        <v>6.5892000000000001E-4</v>
      </c>
      <c r="K85" s="64">
        <v>1.1705E-4</v>
      </c>
      <c r="L85" s="64">
        <v>1.0516E-4</v>
      </c>
      <c r="M85" s="64">
        <v>1.0516E-4</v>
      </c>
      <c r="N85" s="64">
        <v>4.3808999999999997E-4</v>
      </c>
      <c r="O85" s="64">
        <v>7.8399999999999995E-6</v>
      </c>
      <c r="P85" s="64">
        <v>6.2520000000000004E-5</v>
      </c>
      <c r="Q85" s="64">
        <v>7.8399999999999995E-6</v>
      </c>
      <c r="R85" s="64">
        <v>2.0387700000000001E-3</v>
      </c>
      <c r="S85" s="64">
        <v>1.2365E-4</v>
      </c>
      <c r="T85" s="64">
        <v>1.2365E-4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.75" customHeight="1" x14ac:dyDescent="0.3">
      <c r="A86" s="16" t="s">
        <v>57</v>
      </c>
      <c r="B86" s="64">
        <v>8.0000000000000004E-4</v>
      </c>
      <c r="C86" s="64">
        <v>5.0000000000000001E-4</v>
      </c>
      <c r="D86" s="64">
        <v>7.4000000000000003E-3</v>
      </c>
      <c r="E86" s="64">
        <v>2.8E-3</v>
      </c>
      <c r="F86" s="64">
        <v>1.1999999999999999E-3</v>
      </c>
      <c r="G86" s="64">
        <v>1.1933600000000001E-3</v>
      </c>
      <c r="H86" s="64">
        <v>1.6006200000000001E-3</v>
      </c>
      <c r="I86" s="64">
        <v>3.6362399999999998E-3</v>
      </c>
      <c r="J86" s="64">
        <v>2.4150500000000002E-3</v>
      </c>
      <c r="K86" s="64">
        <v>7.6672000000000003E-4</v>
      </c>
      <c r="L86" s="64">
        <v>2.7329999999999998E-4</v>
      </c>
      <c r="M86" s="64">
        <v>2.7329999999999998E-4</v>
      </c>
      <c r="N86" s="64">
        <v>1.6006200000000001E-3</v>
      </c>
      <c r="O86" s="64">
        <v>7.7680999999999996E-4</v>
      </c>
      <c r="P86" s="64">
        <v>1.51454E-3</v>
      </c>
      <c r="Q86" s="64">
        <v>7.7680999999999996E-4</v>
      </c>
      <c r="R86" s="64">
        <v>7.5387000000000002E-4</v>
      </c>
      <c r="S86" s="64">
        <v>3.9880699999999998E-3</v>
      </c>
      <c r="T86" s="64">
        <v>3.9880699999999998E-3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 x14ac:dyDescent="0.3">
      <c r="A87" s="16" t="s">
        <v>68</v>
      </c>
      <c r="B87" s="64">
        <v>8.0000000000000004E-4</v>
      </c>
      <c r="C87" s="64">
        <v>5.0000000000000001E-4</v>
      </c>
      <c r="D87" s="64">
        <v>7.4000000000000003E-3</v>
      </c>
      <c r="E87" s="64">
        <v>2.8E-3</v>
      </c>
      <c r="F87" s="64">
        <v>1.1999999999999999E-3</v>
      </c>
      <c r="G87" s="64">
        <v>1.1933600000000001E-3</v>
      </c>
      <c r="H87" s="64">
        <v>1.6006200000000001E-3</v>
      </c>
      <c r="I87" s="64">
        <v>3.6362399999999998E-3</v>
      </c>
      <c r="J87" s="64">
        <v>2.4150500000000002E-3</v>
      </c>
      <c r="K87" s="64">
        <v>7.6672000000000003E-4</v>
      </c>
      <c r="L87" s="64">
        <v>2.7329999999999998E-4</v>
      </c>
      <c r="M87" s="64">
        <v>2.7329999999999998E-4</v>
      </c>
      <c r="N87" s="64">
        <v>1.6006200000000001E-3</v>
      </c>
      <c r="O87" s="64">
        <v>7.7680999999999996E-4</v>
      </c>
      <c r="P87" s="64">
        <v>1.51454E-3</v>
      </c>
      <c r="Q87" s="64">
        <v>7.7680999999999996E-4</v>
      </c>
      <c r="R87" s="64">
        <v>7.5387000000000002E-4</v>
      </c>
      <c r="S87" s="64">
        <v>3.9880699999999998E-3</v>
      </c>
      <c r="T87" s="64">
        <v>3.9880699999999998E-3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.75" customHeight="1" x14ac:dyDescent="0.25"/>
    <row r="89" spans="1:40" ht="15.75" customHeight="1" x14ac:dyDescent="0.25">
      <c r="B89" s="90" t="s">
        <v>219</v>
      </c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</row>
    <row r="90" spans="1:40" ht="15.75" customHeight="1" x14ac:dyDescent="0.3">
      <c r="B90" s="16" t="s">
        <v>41</v>
      </c>
      <c r="C90" s="16" t="s">
        <v>42</v>
      </c>
      <c r="D90" s="16" t="s">
        <v>43</v>
      </c>
      <c r="E90" s="16" t="s">
        <v>66</v>
      </c>
      <c r="F90" s="16" t="s">
        <v>44</v>
      </c>
      <c r="G90" s="16" t="s">
        <v>45</v>
      </c>
      <c r="H90" s="16" t="s">
        <v>46</v>
      </c>
      <c r="I90" s="16" t="s">
        <v>47</v>
      </c>
      <c r="J90" s="16" t="s">
        <v>48</v>
      </c>
      <c r="K90" s="16" t="s">
        <v>49</v>
      </c>
      <c r="L90" s="16" t="s">
        <v>50</v>
      </c>
      <c r="M90" s="16" t="s">
        <v>51</v>
      </c>
      <c r="N90" s="16" t="s">
        <v>52</v>
      </c>
      <c r="O90" s="16" t="s">
        <v>67</v>
      </c>
      <c r="P90" s="16" t="s">
        <v>54</v>
      </c>
      <c r="Q90" s="16" t="s">
        <v>55</v>
      </c>
      <c r="R90" s="16" t="s">
        <v>56</v>
      </c>
      <c r="S90" s="16" t="s">
        <v>57</v>
      </c>
      <c r="T90" s="16" t="s">
        <v>68</v>
      </c>
    </row>
    <row r="91" spans="1:40" ht="15.75" customHeight="1" x14ac:dyDescent="0.3">
      <c r="A91" s="1" t="s">
        <v>220</v>
      </c>
      <c r="B91" s="7">
        <v>3.2411069222836167E-2</v>
      </c>
      <c r="C91" s="7">
        <v>8.3312960027288385E-2</v>
      </c>
      <c r="D91" s="7">
        <v>2.0157754830449619E-2</v>
      </c>
      <c r="E91" s="7">
        <v>4.0780983401915584E-2</v>
      </c>
      <c r="F91" s="7">
        <v>7.5680809150239729E-3</v>
      </c>
      <c r="G91" s="7">
        <v>7.5680809150239729E-3</v>
      </c>
      <c r="H91" s="7">
        <v>5.3579223957846804E-3</v>
      </c>
      <c r="I91" s="7">
        <v>2.0352945693363468E-2</v>
      </c>
      <c r="J91" s="7">
        <v>1.6403498929612702E-2</v>
      </c>
      <c r="K91" s="7">
        <v>6.6393198485777292E-3</v>
      </c>
      <c r="L91" s="7">
        <v>-1.7255190036373418E-2</v>
      </c>
      <c r="M91" s="7">
        <v>2.7398642239471378E-2</v>
      </c>
      <c r="N91" s="7">
        <v>2.3322991375097898E-2</v>
      </c>
      <c r="O91" s="7">
        <v>-9.3368632334879832E-3</v>
      </c>
      <c r="P91" s="7">
        <v>-8.7779551096641047E-5</v>
      </c>
      <c r="Q91" s="7">
        <v>3.9259240390562018E-3</v>
      </c>
      <c r="R91" s="7">
        <v>4.1088779519295112E-4</v>
      </c>
      <c r="S91" s="7">
        <v>1.2724366973915968E-2</v>
      </c>
      <c r="T91" s="7">
        <v>-2.6926763734510807E-4</v>
      </c>
    </row>
    <row r="92" spans="1:40" ht="15.75" customHeight="1" x14ac:dyDescent="0.3">
      <c r="A92" s="1" t="s">
        <v>221</v>
      </c>
      <c r="B92" s="7">
        <v>7.5712718202380555E-2</v>
      </c>
      <c r="C92" s="7">
        <v>7.7829913554935695E-2</v>
      </c>
      <c r="D92" s="7">
        <v>1.7665732899255344E-2</v>
      </c>
      <c r="E92" s="7">
        <v>0.14267768874369346</v>
      </c>
      <c r="F92" s="7">
        <v>4.8317116499427597E-2</v>
      </c>
      <c r="G92" s="7">
        <v>4.8317116499427597E-2</v>
      </c>
      <c r="H92" s="7">
        <v>2.2247666614199715E-2</v>
      </c>
      <c r="I92" s="7">
        <v>2.232198664931891E-2</v>
      </c>
      <c r="J92" s="7">
        <v>1.401092365057903E-2</v>
      </c>
      <c r="K92" s="7">
        <v>1.3463186938936939E-2</v>
      </c>
      <c r="L92" s="7">
        <v>2.5355681277047393E-2</v>
      </c>
      <c r="M92" s="7">
        <v>3.535046212872358E-2</v>
      </c>
      <c r="N92" s="7">
        <v>1.7241160608926224E-2</v>
      </c>
      <c r="O92" s="7">
        <v>8.5176672585807692E-3</v>
      </c>
      <c r="P92" s="7">
        <v>1.0985374276262259E-2</v>
      </c>
      <c r="Q92" s="7">
        <v>1.9153444019485436E-2</v>
      </c>
      <c r="R92" s="7">
        <v>7.6686473724406744E-3</v>
      </c>
      <c r="S92" s="7">
        <v>2.0772136178310453E-2</v>
      </c>
      <c r="T92" s="7">
        <v>2.0025602274403226E-2</v>
      </c>
    </row>
    <row r="93" spans="1:40" ht="15.75" customHeight="1" x14ac:dyDescent="0.25"/>
    <row r="94" spans="1:40" ht="15.75" customHeight="1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40" ht="15.7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4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5:T43"/>
    <mergeCell ref="B89:T8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21</vt:i4>
      </vt:variant>
    </vt:vector>
  </HeadingPairs>
  <TitlesOfParts>
    <vt:vector size="33" baseType="lpstr">
      <vt:lpstr>Description</vt:lpstr>
      <vt:lpstr>inputoutput</vt:lpstr>
      <vt:lpstr>prices</vt:lpstr>
      <vt:lpstr>profits</vt:lpstr>
      <vt:lpstr>consumption</vt:lpstr>
      <vt:lpstr>investments</vt:lpstr>
      <vt:lpstr>internationaltrade</vt:lpstr>
      <vt:lpstr>hhincome</vt:lpstr>
      <vt:lpstr>finance</vt:lpstr>
      <vt:lpstr>labour</vt:lpstr>
      <vt:lpstr>government</vt:lpstr>
      <vt:lpstr>technology</vt:lpstr>
      <vt:lpstr>capwealth</vt:lpstr>
      <vt:lpstr>cov_c_1</vt:lpstr>
      <vt:lpstr>cov_c_2</vt:lpstr>
      <vt:lpstr>cov_i_1</vt:lpstr>
      <vt:lpstr>cov_i_2</vt:lpstr>
      <vt:lpstr>cov_m_1</vt:lpstr>
      <vt:lpstr>cov_m_2</vt:lpstr>
      <vt:lpstr>cov_x_1</vt:lpstr>
      <vt:lpstr>cov_x_2</vt:lpstr>
      <vt:lpstr>equityliability_ratio</vt:lpstr>
      <vt:lpstr>glambda_mean</vt:lpstr>
      <vt:lpstr>glambda_sd</vt:lpstr>
      <vt:lpstr>initialGFCF</vt:lpstr>
      <vt:lpstr>investbmatrix</vt:lpstr>
      <vt:lpstr>mixed</vt:lpstr>
      <vt:lpstr>normalcaputi</vt:lpstr>
      <vt:lpstr>peradultwealth</vt:lpstr>
      <vt:lpstr>pkweights</vt:lpstr>
      <vt:lpstr>skillwealth</vt:lpstr>
      <vt:lpstr>vat_rates</vt:lpstr>
      <vt:lpstr>zmatrix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Cieplinski</dc:creator>
  <cp:lastModifiedBy>Tiziano</cp:lastModifiedBy>
  <dcterms:created xsi:type="dcterms:W3CDTF">2021-03-22T10:15:53Z</dcterms:created>
  <dcterms:modified xsi:type="dcterms:W3CDTF">2022-02-02T09:40:32Z</dcterms:modified>
</cp:coreProperties>
</file>